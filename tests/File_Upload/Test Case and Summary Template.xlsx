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ithkar\Downloads\"/>
    </mc:Choice>
  </mc:AlternateContent>
  <bookViews>
    <workbookView xWindow="0" yWindow="0" windowWidth="19200" windowHeight="8270" activeTab="2"/>
  </bookViews>
  <sheets>
    <sheet name="RH" sheetId="5" r:id="rId1"/>
    <sheet name="Test summary" sheetId="3" r:id="rId2"/>
    <sheet name="Test result" sheetId="1" r:id="rId3"/>
    <sheet name="Test environment" sheetId="2" r:id="rId4"/>
  </sheets>
  <definedNames>
    <definedName name="_xlnm._FilterDatabase" localSheetId="3" hidden="1">'Test environment'!$E$6:$E$9</definedName>
    <definedName name="alpha">'Test environment'!$I$6:$I$8</definedName>
    <definedName name="Brosers">'Test environment'!$C$6:$C$10</definedName>
    <definedName name="Browser">'Test environment'!$C$6:$C$7</definedName>
    <definedName name="Browsers">'Test environment'!$C$9:$C$16</definedName>
    <definedName name="Languages">'Test environment'!$B$6:$B$15</definedName>
    <definedName name="Lead">'Test environment'!$H$6:$H$8</definedName>
    <definedName name="list">'Test environment'!#REF!</definedName>
    <definedName name="OS">'Test environment'!$A$6:$A$15</definedName>
    <definedName name="PL">'Test environment'!$F$6:$F$19</definedName>
    <definedName name="PM">'Test environment'!$E$6:$E$12</definedName>
    <definedName name="PMs">'Test environment'!$E$6:$E$9</definedName>
    <definedName name="Status">'Test environment'!$D$6:$D$10</definedName>
    <definedName name="Tester">'Test environment'!$G$6:$G$14</definedName>
    <definedName name="TestStatus">'Test environment'!$D$6:$D$9</definedName>
    <definedName name="TS">'Test environment'!$D$6:$D$9</definedName>
    <definedName name="Tst">'Test result'!$H$11:$Z$14</definedName>
  </definedNames>
  <calcPr calcId="152511"/>
</workbook>
</file>

<file path=xl/calcChain.xml><?xml version="1.0" encoding="utf-8"?>
<calcChain xmlns="http://schemas.openxmlformats.org/spreadsheetml/2006/main">
  <c r="I14" i="1" l="1"/>
  <c r="C4" i="1"/>
  <c r="B4" i="3"/>
  <c r="I13" i="1"/>
  <c r="C3" i="1"/>
  <c r="B3" i="3"/>
  <c r="I12" i="1"/>
  <c r="I7" i="3"/>
  <c r="I15" i="1"/>
  <c r="I16" i="1"/>
  <c r="I11" i="1"/>
  <c r="I17" i="1"/>
  <c r="I18" i="1"/>
  <c r="H14" i="1"/>
  <c r="H13" i="1"/>
  <c r="J6" i="3"/>
  <c r="H12" i="1"/>
  <c r="H11" i="1"/>
  <c r="H6" i="3"/>
  <c r="H15" i="1"/>
  <c r="H16" i="1"/>
  <c r="H17" i="1"/>
  <c r="H18" i="1"/>
  <c r="J15" i="1"/>
  <c r="J16" i="1"/>
  <c r="J17" i="1"/>
  <c r="J18" i="1"/>
  <c r="K15" i="1"/>
  <c r="K16" i="1"/>
  <c r="K17" i="1"/>
  <c r="K18" i="1"/>
  <c r="L15" i="1"/>
  <c r="L16" i="1"/>
  <c r="L17" i="1"/>
  <c r="L18" i="1"/>
  <c r="M15" i="1"/>
  <c r="M16" i="1"/>
  <c r="M17" i="1"/>
  <c r="M18" i="1"/>
  <c r="N15" i="1"/>
  <c r="N16" i="1"/>
  <c r="N17" i="1"/>
  <c r="N18" i="1"/>
  <c r="O15" i="1"/>
  <c r="O16" i="1"/>
  <c r="O17" i="1"/>
  <c r="O18" i="1"/>
  <c r="P15" i="1"/>
  <c r="P16" i="1"/>
  <c r="P17" i="1"/>
  <c r="P18" i="1"/>
  <c r="Q15" i="1"/>
  <c r="Q16" i="1"/>
  <c r="Q17" i="1"/>
  <c r="Q18" i="1"/>
  <c r="R15" i="1"/>
  <c r="R16" i="1"/>
  <c r="R17" i="1"/>
  <c r="R18" i="1"/>
  <c r="S15" i="1"/>
  <c r="S16" i="1"/>
  <c r="S17" i="1"/>
  <c r="S18" i="1"/>
  <c r="T15" i="1"/>
  <c r="T16" i="1"/>
  <c r="T17" i="1"/>
  <c r="T18" i="1"/>
  <c r="U15" i="1"/>
  <c r="U16" i="1"/>
  <c r="U17" i="1"/>
  <c r="U18" i="1"/>
  <c r="V15" i="1"/>
  <c r="V16" i="1"/>
  <c r="V17" i="1"/>
  <c r="V18" i="1"/>
  <c r="W15" i="1"/>
  <c r="W16" i="1"/>
  <c r="W17" i="1"/>
  <c r="W18" i="1"/>
  <c r="X15" i="1"/>
  <c r="X16" i="1"/>
  <c r="X17" i="1"/>
  <c r="X18" i="1"/>
  <c r="Y15" i="1"/>
  <c r="Y16" i="1"/>
  <c r="Y17" i="1"/>
  <c r="Y18" i="1"/>
  <c r="Z15" i="1"/>
  <c r="Z16" i="1"/>
  <c r="Z17" i="1"/>
  <c r="Z18" i="1"/>
  <c r="AA15" i="1"/>
  <c r="AA16" i="1"/>
  <c r="AA17" i="1"/>
  <c r="AA18" i="1"/>
  <c r="AB15" i="1"/>
  <c r="AB16" i="1"/>
  <c r="AB17" i="1"/>
  <c r="AB18" i="1"/>
  <c r="AC15" i="1"/>
  <c r="AC16" i="1"/>
  <c r="AC17" i="1"/>
  <c r="AC18" i="1"/>
  <c r="AD15" i="1"/>
  <c r="AD16" i="1"/>
  <c r="AD17" i="1"/>
  <c r="AD18" i="1"/>
  <c r="AE15" i="1"/>
  <c r="AE16" i="1"/>
  <c r="AE17" i="1"/>
  <c r="AE18" i="1"/>
  <c r="AF15" i="1"/>
  <c r="AF16" i="1"/>
  <c r="AF17" i="1"/>
  <c r="AF18" i="1"/>
  <c r="AG15" i="1"/>
  <c r="AG16" i="1"/>
  <c r="AG17" i="1"/>
  <c r="AG18" i="1"/>
  <c r="AH15" i="1"/>
  <c r="AH16" i="1"/>
  <c r="AH17" i="1"/>
  <c r="AH18" i="1"/>
  <c r="AI15" i="1"/>
  <c r="AI16" i="1"/>
  <c r="AI17" i="1"/>
  <c r="AI18" i="1"/>
  <c r="O14" i="1"/>
  <c r="K13" i="3"/>
  <c r="P14" i="1"/>
  <c r="K14" i="3"/>
  <c r="K14" i="1"/>
  <c r="O13" i="1"/>
  <c r="J13" i="3"/>
  <c r="P13" i="1"/>
  <c r="J14" i="3"/>
  <c r="K13" i="1"/>
  <c r="J9" i="3"/>
  <c r="O12" i="1"/>
  <c r="I13" i="3"/>
  <c r="P12" i="1"/>
  <c r="I14" i="3"/>
  <c r="K12" i="1"/>
  <c r="D6" i="3"/>
  <c r="G33" i="3"/>
  <c r="G32" i="3"/>
  <c r="A5" i="3"/>
  <c r="B5" i="3"/>
  <c r="J14" i="1"/>
  <c r="K8" i="3"/>
  <c r="L14" i="1"/>
  <c r="M14" i="1"/>
  <c r="K11" i="3"/>
  <c r="N14" i="1"/>
  <c r="K12" i="3"/>
  <c r="Q14" i="1"/>
  <c r="K15" i="3"/>
  <c r="R14" i="1"/>
  <c r="S14" i="1"/>
  <c r="K17" i="3"/>
  <c r="T14" i="1"/>
  <c r="U14" i="1"/>
  <c r="K19" i="3"/>
  <c r="V14" i="1"/>
  <c r="K20" i="3"/>
  <c r="W14" i="1"/>
  <c r="K21" i="3"/>
  <c r="X14" i="1"/>
  <c r="K22" i="3"/>
  <c r="Y14" i="1"/>
  <c r="K23" i="3"/>
  <c r="Z14" i="1"/>
  <c r="AA14" i="1"/>
  <c r="K25" i="3"/>
  <c r="AB14" i="1"/>
  <c r="AC14" i="1"/>
  <c r="K27" i="3"/>
  <c r="AD14" i="1"/>
  <c r="K28" i="3"/>
  <c r="AE14" i="1"/>
  <c r="AF14" i="1"/>
  <c r="K30" i="3"/>
  <c r="AG14" i="1"/>
  <c r="AH14" i="1"/>
  <c r="AI14" i="1"/>
  <c r="K33" i="3"/>
  <c r="J13" i="1"/>
  <c r="J8" i="3"/>
  <c r="L13" i="1"/>
  <c r="J10" i="3"/>
  <c r="M13" i="1"/>
  <c r="J11" i="3"/>
  <c r="N13" i="1"/>
  <c r="J12" i="3"/>
  <c r="Q13" i="1"/>
  <c r="J15" i="3"/>
  <c r="R13" i="1"/>
  <c r="S13" i="1"/>
  <c r="J17" i="3"/>
  <c r="T13" i="1"/>
  <c r="J18" i="3"/>
  <c r="U13" i="1"/>
  <c r="J19" i="3"/>
  <c r="V13" i="1"/>
  <c r="J20" i="3"/>
  <c r="W13" i="1"/>
  <c r="J21" i="3"/>
  <c r="X13" i="1"/>
  <c r="J22" i="3"/>
  <c r="Y13" i="1"/>
  <c r="J23" i="3"/>
  <c r="Z13" i="1"/>
  <c r="J24" i="3"/>
  <c r="AA13" i="1"/>
  <c r="J25" i="3"/>
  <c r="AB13" i="1"/>
  <c r="J26" i="3"/>
  <c r="AC13" i="1"/>
  <c r="AD13" i="1"/>
  <c r="J28" i="3"/>
  <c r="AE13" i="1"/>
  <c r="J29" i="3"/>
  <c r="AF13" i="1"/>
  <c r="AG13" i="1"/>
  <c r="J31" i="3"/>
  <c r="AH13" i="1"/>
  <c r="AI13" i="1"/>
  <c r="J33" i="3"/>
  <c r="J12" i="1"/>
  <c r="I8" i="3"/>
  <c r="L12" i="1"/>
  <c r="I10" i="3"/>
  <c r="M12" i="1"/>
  <c r="N12" i="1"/>
  <c r="I12" i="3"/>
  <c r="Q12" i="1"/>
  <c r="I15" i="3"/>
  <c r="R12" i="1"/>
  <c r="I16" i="3"/>
  <c r="S12" i="1"/>
  <c r="I17" i="3"/>
  <c r="T12" i="1"/>
  <c r="U12" i="1"/>
  <c r="I19" i="3"/>
  <c r="V12" i="1"/>
  <c r="I20" i="3"/>
  <c r="W12" i="1"/>
  <c r="I21" i="3"/>
  <c r="X12" i="1"/>
  <c r="I22" i="3"/>
  <c r="Y12" i="1"/>
  <c r="I23" i="3"/>
  <c r="Z12" i="1"/>
  <c r="I24" i="3"/>
  <c r="AA12" i="1"/>
  <c r="I25" i="3"/>
  <c r="AB12" i="1"/>
  <c r="AC12" i="1"/>
  <c r="I27" i="3"/>
  <c r="AD12" i="1"/>
  <c r="I28" i="3"/>
  <c r="AE12" i="1"/>
  <c r="I29" i="3"/>
  <c r="AF12" i="1"/>
  <c r="I30" i="3"/>
  <c r="AG12" i="1"/>
  <c r="I31" i="3"/>
  <c r="AH12" i="1"/>
  <c r="I32" i="3"/>
  <c r="AI12" i="1"/>
  <c r="D17" i="3"/>
  <c r="D10" i="3"/>
  <c r="D11" i="3"/>
  <c r="K32" i="3"/>
  <c r="J32" i="3"/>
  <c r="J30" i="3"/>
  <c r="J27" i="3"/>
  <c r="K34" i="3"/>
  <c r="K31" i="3"/>
  <c r="K29" i="3"/>
  <c r="K26" i="3"/>
  <c r="K24" i="3"/>
  <c r="K18" i="3"/>
  <c r="K16" i="3"/>
  <c r="K10" i="3"/>
  <c r="K9" i="3"/>
  <c r="K6" i="3"/>
  <c r="K5" i="3"/>
  <c r="J16" i="3"/>
  <c r="J7" i="3"/>
  <c r="I6" i="3"/>
  <c r="I33" i="3"/>
  <c r="I26" i="3"/>
  <c r="I18" i="3"/>
  <c r="I11" i="3"/>
  <c r="I9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8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8" i="3"/>
  <c r="E7" i="3"/>
  <c r="E9" i="3"/>
  <c r="E6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7" i="3"/>
  <c r="D16" i="3"/>
  <c r="D15" i="3"/>
  <c r="D14" i="3"/>
  <c r="D13" i="3"/>
  <c r="D12" i="3"/>
  <c r="D9" i="3"/>
  <c r="D8" i="3"/>
  <c r="C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A33" i="3"/>
  <c r="A32" i="3"/>
  <c r="A31" i="3"/>
  <c r="A30" i="3"/>
  <c r="A29" i="3"/>
  <c r="A28" i="3"/>
  <c r="A27" i="3"/>
  <c r="A26" i="3"/>
  <c r="A25" i="3"/>
  <c r="A24" i="3"/>
  <c r="A23" i="3"/>
  <c r="A22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A21" i="3"/>
  <c r="A20" i="3"/>
  <c r="A19" i="3"/>
  <c r="A18" i="3"/>
  <c r="A17" i="3"/>
  <c r="A16" i="3"/>
  <c r="A15" i="3"/>
  <c r="A14" i="3"/>
  <c r="A13" i="3"/>
  <c r="A12" i="3"/>
  <c r="A11" i="3"/>
  <c r="A10" i="3"/>
  <c r="A8" i="3"/>
  <c r="A9" i="3"/>
  <c r="A7" i="3"/>
  <c r="A6" i="3"/>
  <c r="J5" i="3"/>
  <c r="I5" i="3"/>
  <c r="H5" i="3"/>
  <c r="G5" i="3"/>
  <c r="F5" i="3"/>
  <c r="E5" i="3"/>
  <c r="D5" i="3"/>
  <c r="C5" i="3"/>
  <c r="H9" i="3"/>
  <c r="C1" i="1"/>
  <c r="B1" i="3"/>
  <c r="H7" i="3"/>
  <c r="K7" i="3"/>
  <c r="C2" i="1"/>
  <c r="B2" i="3"/>
</calcChain>
</file>

<file path=xl/comments1.xml><?xml version="1.0" encoding="utf-8"?>
<comments xmlns="http://schemas.openxmlformats.org/spreadsheetml/2006/main">
  <authors>
    <author>kavitha.m</author>
  </authors>
  <commentList>
    <comment ref="A1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Pass Percentage</t>
        </r>
      </text>
    </comment>
    <comment ref="B1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Pass Percentage</t>
        </r>
      </text>
    </comment>
    <comment ref="A2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Fail Percentage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Fail Percentage</t>
        </r>
      </text>
    </comment>
    <comment ref="A3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Blocked Percentage</t>
        </r>
      </text>
    </comment>
    <comment ref="B3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Blocked Percentage</t>
        </r>
      </text>
    </comment>
    <comment ref="A4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Not Run Percentage</t>
        </r>
      </text>
    </comment>
    <comment ref="B4" authorId="0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Last Run Build Not Run Percentage</t>
        </r>
      </text>
    </comment>
  </commentList>
</comments>
</file>

<file path=xl/comments2.xml><?xml version="1.0" encoding="utf-8"?>
<comments xmlns="http://schemas.openxmlformats.org/spreadsheetml/2006/main">
  <authors>
    <author>geetha</author>
    <author>kavitha.m</author>
  </authors>
  <commentList>
    <comment ref="A5" authorId="0" shapeId="0">
      <text>
        <r>
          <rPr>
            <b/>
            <sz val="8"/>
            <color indexed="81"/>
            <rFont val="Tahoma"/>
            <family val="2"/>
          </rPr>
          <t>geetha:</t>
        </r>
        <r>
          <rPr>
            <sz val="8"/>
            <color indexed="81"/>
            <rFont val="Tahoma"/>
            <family val="2"/>
          </rPr>
          <t xml:space="preserve">
List the OS to be tested below
</t>
        </r>
      </text>
    </comment>
    <comment ref="B5" authorId="0" shapeId="0">
      <text>
        <r>
          <rPr>
            <b/>
            <sz val="8"/>
            <color indexed="81"/>
            <rFont val="Tahoma"/>
            <family val="2"/>
          </rPr>
          <t>geetha:</t>
        </r>
        <r>
          <rPr>
            <sz val="8"/>
            <color indexed="81"/>
            <rFont val="Tahoma"/>
            <family val="2"/>
          </rPr>
          <t xml:space="preserve">
List the languages to be tested</t>
        </r>
      </text>
    </comment>
    <comment ref="C5" authorId="1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List the Browsers</t>
        </r>
      </text>
    </comment>
    <comment ref="E5" authorId="1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List the Project Managers here</t>
        </r>
      </text>
    </comment>
    <comment ref="F5" authorId="1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List the Project Leaders here</t>
        </r>
      </text>
    </comment>
    <comment ref="G5" authorId="1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ListTesters here</t>
        </r>
      </text>
    </comment>
    <comment ref="H5" authorId="1" shapeId="0">
      <text>
        <r>
          <rPr>
            <b/>
            <sz val="8"/>
            <color indexed="81"/>
            <rFont val="Tahoma"/>
            <family val="2"/>
          </rPr>
          <t>kavitha.m:</t>
        </r>
        <r>
          <rPr>
            <sz val="8"/>
            <color indexed="81"/>
            <rFont val="Tahoma"/>
            <family val="2"/>
          </rPr>
          <t xml:space="preserve">
List Test Lead/Group Lead here</t>
        </r>
      </text>
    </comment>
  </commentList>
</comments>
</file>

<file path=xl/sharedStrings.xml><?xml version="1.0" encoding="utf-8"?>
<sst xmlns="http://schemas.openxmlformats.org/spreadsheetml/2006/main" count="149" uniqueCount="88">
  <si>
    <t>Sl. No.</t>
  </si>
  <si>
    <t>Function/ Test ID</t>
  </si>
  <si>
    <t>Test Procedure / Steps</t>
  </si>
  <si>
    <t>Expected Result</t>
  </si>
  <si>
    <t>Function 1</t>
  </si>
  <si>
    <t>Operating system</t>
  </si>
  <si>
    <t>Language</t>
  </si>
  <si>
    <t>Browser</t>
  </si>
  <si>
    <t>Version no</t>
  </si>
  <si>
    <t xml:space="preserve">Languages </t>
  </si>
  <si>
    <t xml:space="preserve">OS </t>
  </si>
  <si>
    <t>Test Conditions</t>
  </si>
  <si>
    <t>Test summary</t>
  </si>
  <si>
    <t>Comments</t>
  </si>
  <si>
    <t>English</t>
  </si>
  <si>
    <t>Fail</t>
  </si>
  <si>
    <t>Pass</t>
  </si>
  <si>
    <t>Milestone</t>
  </si>
  <si>
    <t>Tester</t>
  </si>
  <si>
    <t>Total Hours</t>
  </si>
  <si>
    <t>Actual Result</t>
  </si>
  <si>
    <t>Defect No Reported</t>
  </si>
  <si>
    <t>Testing Type</t>
  </si>
  <si>
    <t>Test Date</t>
  </si>
  <si>
    <t>%Pass</t>
  </si>
  <si>
    <t>%Fail</t>
  </si>
  <si>
    <t>%Blocked</t>
  </si>
  <si>
    <t>Blocked</t>
  </si>
  <si>
    <t>Browsers</t>
  </si>
  <si>
    <t>Project Managers</t>
  </si>
  <si>
    <t>Project Leaders</t>
  </si>
  <si>
    <t>Test Status</t>
  </si>
  <si>
    <t>Not Run</t>
  </si>
  <si>
    <t>Project Code</t>
  </si>
  <si>
    <t>Project Manager</t>
  </si>
  <si>
    <t>Project Leader</t>
  </si>
  <si>
    <t>Test Lead</t>
  </si>
  <si>
    <t>Project Name</t>
  </si>
  <si>
    <t>%Not run</t>
  </si>
  <si>
    <t>Objective</t>
  </si>
  <si>
    <t>Total Test Cases</t>
  </si>
  <si>
    <t>Iteration 1</t>
  </si>
  <si>
    <t>Iteration 2</t>
  </si>
  <si>
    <t>SEPG Head</t>
  </si>
  <si>
    <t>Antony Rex M</t>
  </si>
  <si>
    <t>Readiness review observation closure</t>
  </si>
  <si>
    <t>1.Rev history template is updated</t>
  </si>
  <si>
    <t xml:space="preserve">Standardization
ISMS requirement
</t>
  </si>
  <si>
    <t xml:space="preserve">Template update
Data classification is included
</t>
  </si>
  <si>
    <t>Sundar M</t>
  </si>
  <si>
    <t>Nil</t>
  </si>
  <si>
    <t>Logo Change</t>
  </si>
  <si>
    <t>Initial</t>
  </si>
  <si>
    <r>
      <t>Approved by</t>
    </r>
    <r>
      <rPr>
        <sz val="12"/>
        <rFont val="Times New Roman"/>
        <family val="1"/>
      </rPr>
      <t xml:space="preserve"> </t>
    </r>
  </si>
  <si>
    <t>Reviewed By</t>
  </si>
  <si>
    <t>Prepared by</t>
  </si>
  <si>
    <t>Reason for Change</t>
  </si>
  <si>
    <t>Details of Change</t>
  </si>
  <si>
    <t>Version #</t>
  </si>
  <si>
    <t>Date</t>
  </si>
  <si>
    <t>SL #</t>
  </si>
  <si>
    <t>Template Revision History</t>
  </si>
  <si>
    <r>
      <t>*</t>
    </r>
    <r>
      <rPr>
        <i/>
        <sz val="12"/>
        <rFont val="Times New Roman"/>
        <family val="1"/>
      </rPr>
      <t xml:space="preserve"> PM Should update the revision history, whenever there is a change in the scope or during project management</t>
    </r>
  </si>
  <si>
    <r>
      <t>Reviewed by</t>
    </r>
    <r>
      <rPr>
        <sz val="12"/>
        <rFont val="Times New Roman"/>
        <family val="1"/>
      </rPr>
      <t xml:space="preserve"> </t>
    </r>
  </si>
  <si>
    <r>
      <t>Prepared by</t>
    </r>
    <r>
      <rPr>
        <sz val="12"/>
        <rFont val="Times New Roman"/>
        <family val="1"/>
      </rPr>
      <t xml:space="preserve"> </t>
    </r>
  </si>
  <si>
    <r>
      <t>Work Product Revision History</t>
    </r>
    <r>
      <rPr>
        <b/>
        <sz val="14"/>
        <color indexed="10"/>
        <rFont val="Times New Roman"/>
        <family val="1"/>
      </rPr>
      <t>*</t>
    </r>
  </si>
  <si>
    <t>Updated Company name</t>
  </si>
  <si>
    <t>Shijina Karim</t>
  </si>
  <si>
    <t>Company reorganization and name change</t>
  </si>
  <si>
    <t>Inspirisys :Confidential</t>
  </si>
  <si>
    <t>Company new logo with trade mark updated</t>
  </si>
  <si>
    <t>Due to company logo change</t>
  </si>
  <si>
    <t>SEPG Team</t>
  </si>
  <si>
    <t>No changes updated</t>
  </si>
  <si>
    <t>Annual review done</t>
  </si>
  <si>
    <t>Draft unit test case</t>
  </si>
  <si>
    <t>Final Test case</t>
  </si>
  <si>
    <t>Draft test case</t>
  </si>
  <si>
    <t>Final</t>
  </si>
  <si>
    <t>Manoj</t>
  </si>
  <si>
    <t>Hariharan</t>
  </si>
  <si>
    <t>Sriram</t>
  </si>
  <si>
    <t>Unit</t>
  </si>
  <si>
    <t>Windows</t>
  </si>
  <si>
    <t>Chrome</t>
  </si>
  <si>
    <t>Hari Krishnan</t>
  </si>
  <si>
    <t>224655V125260142</t>
  </si>
  <si>
    <t>Sprint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</si>
</sst>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mm/dd/yy;@"/>
  </numFmts>
  <fonts count="28" x14ac:knownFonts="1">
    <font>
      <sz val="10"/>
      <name val="Arial"/>
    </font>
    <font>
      <sz val="10"/>
      <name val="Arial"/>
    </font>
    <font>
      <b/>
      <sz val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6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24"/>
      <name val="Times New Roman"/>
      <family val="1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1"/>
      <name val="Times New Roman"/>
      <family val="1"/>
    </font>
    <font>
      <sz val="36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u/>
      <sz val="14"/>
      <name val="Times New Roman"/>
      <family val="1"/>
    </font>
    <font>
      <i/>
      <sz val="12"/>
      <name val="Times New Roman"/>
      <family val="1"/>
    </font>
    <font>
      <i/>
      <sz val="12"/>
      <color indexed="10"/>
      <name val="Times New Roman"/>
      <family val="1"/>
    </font>
    <font>
      <b/>
      <sz val="14"/>
      <name val="Times New Roman"/>
      <family val="1"/>
    </font>
    <font>
      <b/>
      <sz val="14"/>
      <color indexed="10"/>
      <name val="Times New Roman"/>
      <family val="1"/>
    </font>
    <font>
      <sz val="11"/>
      <color theme="1"/>
      <name val="Calibri"/>
      <family val="2"/>
      <scheme val="minor"/>
    </font>
    <font>
      <sz val="12"/>
      <color rgb="FFE36C0A"/>
      <name val="Times New Roman"/>
      <family val="1"/>
    </font>
    <font>
      <sz val="12"/>
      <color rgb="FF0070C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5" fillId="0" borderId="0"/>
    <xf numFmtId="0" fontId="11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6" fillId="0" borderId="0" xfId="0" applyFont="1"/>
    <xf numFmtId="0" fontId="7" fillId="2" borderId="0" xfId="0" applyFont="1" applyFill="1"/>
    <xf numFmtId="0" fontId="0" fillId="0" borderId="2" xfId="0" applyBorder="1"/>
    <xf numFmtId="0" fontId="0" fillId="0" borderId="2" xfId="0" applyFill="1" applyBorder="1"/>
    <xf numFmtId="0" fontId="1" fillId="2" borderId="0" xfId="0" applyFont="1" applyFill="1"/>
    <xf numFmtId="0" fontId="1" fillId="0" borderId="0" xfId="0" applyFont="1"/>
    <xf numFmtId="0" fontId="0" fillId="3" borderId="2" xfId="0" applyFill="1" applyBorder="1" applyAlignment="1">
      <alignment vertical="center"/>
    </xf>
    <xf numFmtId="0" fontId="0" fillId="4" borderId="2" xfId="0" applyFill="1" applyBorder="1"/>
    <xf numFmtId="0" fontId="0" fillId="5" borderId="2" xfId="0" applyFill="1" applyBorder="1"/>
    <xf numFmtId="0" fontId="7" fillId="0" borderId="2" xfId="0" applyFont="1" applyBorder="1"/>
    <xf numFmtId="0" fontId="0" fillId="2" borderId="2" xfId="0" applyFill="1" applyBorder="1"/>
    <xf numFmtId="0" fontId="7" fillId="0" borderId="0" xfId="0" applyFont="1"/>
    <xf numFmtId="0" fontId="11" fillId="0" borderId="1" xfId="6" applyFont="1" applyFill="1" applyBorder="1" applyAlignment="1">
      <alignment wrapText="1"/>
    </xf>
    <xf numFmtId="0" fontId="9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7" fillId="0" borderId="2" xfId="0" applyFont="1" applyFill="1" applyBorder="1" applyProtection="1"/>
    <xf numFmtId="0" fontId="7" fillId="0" borderId="2" xfId="0" applyFont="1" applyFill="1" applyBorder="1" applyAlignment="1" applyProtection="1">
      <alignment wrapText="1"/>
    </xf>
    <xf numFmtId="0" fontId="0" fillId="0" borderId="2" xfId="0" applyBorder="1" applyAlignment="1">
      <alignment wrapText="1"/>
    </xf>
    <xf numFmtId="0" fontId="7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3" borderId="3" xfId="0" applyFont="1" applyFill="1" applyBorder="1" applyAlignment="1">
      <alignment vertical="center" wrapText="1"/>
    </xf>
    <xf numFmtId="0" fontId="0" fillId="5" borderId="2" xfId="0" applyNumberFormat="1" applyFill="1" applyBorder="1"/>
    <xf numFmtId="0" fontId="0" fillId="3" borderId="2" xfId="0" applyFill="1" applyBorder="1" applyAlignment="1">
      <alignment horizontal="center" vertical="center"/>
    </xf>
    <xf numFmtId="0" fontId="2" fillId="3" borderId="2" xfId="7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2" fillId="4" borderId="6" xfId="0" applyFont="1" applyFill="1" applyBorder="1"/>
    <xf numFmtId="0" fontId="14" fillId="6" borderId="7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4" fillId="8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9" fontId="14" fillId="6" borderId="10" xfId="0" applyNumberFormat="1" applyFont="1" applyFill="1" applyBorder="1" applyAlignment="1">
      <alignment horizontal="center" vertical="center"/>
    </xf>
    <xf numFmtId="9" fontId="14" fillId="7" borderId="11" xfId="0" applyNumberFormat="1" applyFont="1" applyFill="1" applyBorder="1" applyAlignment="1">
      <alignment horizontal="center" vertical="center"/>
    </xf>
    <xf numFmtId="9" fontId="14" fillId="8" borderId="11" xfId="0" applyNumberFormat="1" applyFont="1" applyFill="1" applyBorder="1" applyAlignment="1">
      <alignment horizontal="center" vertical="center"/>
    </xf>
    <xf numFmtId="9" fontId="14" fillId="9" borderId="1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quotePrefix="1" applyAlignment="1" applyProtection="1">
      <alignment horizontal="center" vertical="center"/>
    </xf>
    <xf numFmtId="12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quotePrefix="1" applyNumberForma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" fillId="0" borderId="0" xfId="0" applyFont="1" applyAlignment="1" applyProtection="1">
      <alignment horizontal="center" vertical="center"/>
    </xf>
    <xf numFmtId="179" fontId="0" fillId="0" borderId="0" xfId="0" quotePrefix="1" applyNumberFormat="1" applyAlignment="1" applyProtection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/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wrapText="1"/>
    </xf>
    <xf numFmtId="0" fontId="12" fillId="2" borderId="2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 wrapText="1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2" xfId="0" applyNumberFormat="1" applyFont="1" applyFill="1" applyBorder="1"/>
    <xf numFmtId="179" fontId="15" fillId="2" borderId="2" xfId="0" applyNumberFormat="1" applyFont="1" applyFill="1" applyBorder="1"/>
    <xf numFmtId="179" fontId="0" fillId="2" borderId="2" xfId="0" applyNumberFormat="1" applyFill="1" applyBorder="1"/>
    <xf numFmtId="9" fontId="2" fillId="2" borderId="2" xfId="7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2" fillId="2" borderId="2" xfId="7" applyNumberFormat="1" applyFont="1" applyFill="1" applyBorder="1" applyAlignment="1">
      <alignment horizontal="center" vertical="center" wrapText="1"/>
    </xf>
    <xf numFmtId="0" fontId="12" fillId="2" borderId="2" xfId="0" applyNumberFormat="1" applyFont="1" applyFill="1" applyBorder="1" applyAlignment="1">
      <alignment horizontal="center" vertical="center"/>
    </xf>
    <xf numFmtId="0" fontId="12" fillId="2" borderId="2" xfId="0" applyNumberFormat="1" applyFont="1" applyFill="1" applyBorder="1"/>
    <xf numFmtId="0" fontId="0" fillId="2" borderId="2" xfId="0" applyNumberFormat="1" applyFill="1" applyBorder="1"/>
    <xf numFmtId="0" fontId="2" fillId="3" borderId="2" xfId="0" applyFont="1" applyFill="1" applyBorder="1" applyAlignment="1">
      <alignment horizontal="left" vertical="top" wrapText="1"/>
    </xf>
    <xf numFmtId="0" fontId="13" fillId="6" borderId="5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9" fontId="13" fillId="6" borderId="5" xfId="0" applyNumberFormat="1" applyFont="1" applyFill="1" applyBorder="1" applyAlignment="1">
      <alignment horizontal="center" vertical="center"/>
    </xf>
    <xf numFmtId="9" fontId="13" fillId="7" borderId="5" xfId="0" applyNumberFormat="1" applyFont="1" applyFill="1" applyBorder="1" applyAlignment="1">
      <alignment horizontal="center" vertical="center"/>
    </xf>
    <xf numFmtId="9" fontId="13" fillId="8" borderId="5" xfId="0" applyNumberFormat="1" applyFont="1" applyFill="1" applyBorder="1" applyAlignment="1">
      <alignment horizontal="center" vertical="center"/>
    </xf>
    <xf numFmtId="9" fontId="13" fillId="9" borderId="5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vertical="top" wrapText="1"/>
    </xf>
    <xf numFmtId="0" fontId="2" fillId="4" borderId="15" xfId="0" applyFont="1" applyFill="1" applyBorder="1" applyAlignment="1">
      <alignment vertical="top" wrapText="1"/>
    </xf>
    <xf numFmtId="0" fontId="2" fillId="4" borderId="16" xfId="0" applyFont="1" applyFill="1" applyBorder="1"/>
    <xf numFmtId="0" fontId="0" fillId="0" borderId="0" xfId="0" applyAlignment="1"/>
    <xf numFmtId="0" fontId="0" fillId="0" borderId="17" xfId="0" applyBorder="1" applyAlignment="1"/>
    <xf numFmtId="0" fontId="2" fillId="3" borderId="3" xfId="0" applyFont="1" applyFill="1" applyBorder="1" applyAlignment="1">
      <alignment horizontal="right" vertical="center" wrapText="1"/>
    </xf>
    <xf numFmtId="0" fontId="0" fillId="0" borderId="0" xfId="0" applyBorder="1"/>
    <xf numFmtId="0" fontId="19" fillId="0" borderId="0" xfId="0" applyFont="1" applyBorder="1"/>
    <xf numFmtId="0" fontId="19" fillId="0" borderId="0" xfId="0" applyFont="1" applyBorder="1" applyAlignment="1">
      <alignment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vertical="center" wrapText="1"/>
    </xf>
    <xf numFmtId="0" fontId="26" fillId="0" borderId="19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justify" vertical="center" wrapText="1"/>
    </xf>
    <xf numFmtId="0" fontId="19" fillId="0" borderId="18" xfId="0" applyFont="1" applyBorder="1" applyAlignment="1">
      <alignment vertical="center" wrapText="1"/>
    </xf>
    <xf numFmtId="0" fontId="19" fillId="0" borderId="18" xfId="0" applyFont="1" applyBorder="1" applyAlignment="1">
      <alignment horizontal="justify" vertical="center" wrapText="1"/>
    </xf>
    <xf numFmtId="0" fontId="27" fillId="0" borderId="19" xfId="0" applyFont="1" applyBorder="1" applyAlignment="1">
      <alignment horizontal="justify" vertical="center" wrapText="1"/>
    </xf>
    <xf numFmtId="0" fontId="19" fillId="0" borderId="19" xfId="0" applyFont="1" applyBorder="1" applyAlignment="1">
      <alignment horizontal="justify" vertical="center" wrapText="1"/>
    </xf>
    <xf numFmtId="0" fontId="2" fillId="11" borderId="18" xfId="0" applyFont="1" applyFill="1" applyBorder="1" applyAlignment="1">
      <alignment horizontal="justify" vertical="center" wrapText="1"/>
    </xf>
    <xf numFmtId="0" fontId="2" fillId="11" borderId="20" xfId="0" applyFont="1" applyFill="1" applyBorder="1" applyAlignment="1">
      <alignment horizontal="justify" vertical="center" wrapText="1"/>
    </xf>
    <xf numFmtId="0" fontId="2" fillId="0" borderId="0" xfId="2" applyFont="1" applyFill="1" applyBorder="1" applyAlignment="1">
      <alignment horizontal="center" vertical="center" wrapText="1"/>
    </xf>
    <xf numFmtId="0" fontId="19" fillId="0" borderId="0" xfId="2" applyFont="1" applyFill="1" applyBorder="1" applyAlignment="1">
      <alignment vertical="center" wrapText="1"/>
    </xf>
    <xf numFmtId="0" fontId="2" fillId="11" borderId="2" xfId="2" applyFont="1" applyFill="1" applyBorder="1" applyAlignment="1">
      <alignment horizontal="left" vertical="center" wrapText="1"/>
    </xf>
    <xf numFmtId="0" fontId="19" fillId="0" borderId="2" xfId="2" applyFont="1" applyBorder="1" applyAlignment="1">
      <alignment horizontal="left" vertical="center" wrapText="1"/>
    </xf>
    <xf numFmtId="15" fontId="19" fillId="0" borderId="2" xfId="2" applyNumberFormat="1" applyFont="1" applyBorder="1" applyAlignment="1">
      <alignment horizontal="left" vertical="center" wrapText="1"/>
    </xf>
    <xf numFmtId="14" fontId="19" fillId="0" borderId="18" xfId="0" applyNumberFormat="1" applyFont="1" applyBorder="1" applyAlignment="1">
      <alignment horizontal="justify" vertical="center" wrapText="1"/>
    </xf>
    <xf numFmtId="0" fontId="25" fillId="12" borderId="2" xfId="5" applyFill="1" applyBorder="1" applyAlignment="1">
      <alignment horizontal="left" vertical="top" wrapText="1"/>
    </xf>
    <xf numFmtId="0" fontId="19" fillId="0" borderId="0" xfId="2" applyFont="1" applyBorder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20" fillId="0" borderId="0" xfId="0" applyFont="1" applyBorder="1" applyAlignment="1">
      <alignment horizontal="center" wrapText="1"/>
    </xf>
    <xf numFmtId="0" fontId="19" fillId="0" borderId="2" xfId="0" applyFont="1" applyBorder="1" applyAlignment="1">
      <alignment horizontal="left" vertical="center" wrapText="1"/>
    </xf>
    <xf numFmtId="15" fontId="19" fillId="0" borderId="2" xfId="0" applyNumberFormat="1" applyFont="1" applyBorder="1" applyAlignment="1">
      <alignment horizontal="left" vertical="center" wrapText="1"/>
    </xf>
    <xf numFmtId="0" fontId="2" fillId="11" borderId="21" xfId="0" applyFont="1" applyFill="1" applyBorder="1" applyAlignment="1">
      <alignment horizontal="justify" vertical="center" wrapText="1"/>
    </xf>
    <xf numFmtId="0" fontId="2" fillId="11" borderId="19" xfId="0" applyFont="1" applyFill="1" applyBorder="1" applyAlignment="1">
      <alignment horizontal="justify" vertical="center" wrapText="1"/>
    </xf>
    <xf numFmtId="0" fontId="22" fillId="0" borderId="0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0" borderId="0" xfId="0" applyFill="1" applyAlignment="1"/>
    <xf numFmtId="0" fontId="0" fillId="0" borderId="0" xfId="0" applyAlignment="1"/>
    <xf numFmtId="0" fontId="2" fillId="0" borderId="0" xfId="0" applyFont="1" applyFill="1" applyBorder="1" applyAlignment="1">
      <alignment vertical="top" wrapText="1"/>
    </xf>
    <xf numFmtId="0" fontId="0" fillId="0" borderId="0" xfId="0" applyBorder="1" applyAlignment="1"/>
    <xf numFmtId="0" fontId="0" fillId="2" borderId="28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7" xfId="0" applyBorder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0" fillId="0" borderId="17" xfId="0" applyBorder="1" applyAlignment="1"/>
    <xf numFmtId="0" fontId="8" fillId="10" borderId="0" xfId="0" applyFont="1" applyFill="1" applyAlignment="1">
      <alignment horizontal="center"/>
    </xf>
  </cellXfs>
  <cellStyles count="8">
    <cellStyle name="Normal" xfId="0" builtinId="0"/>
    <cellStyle name="Normal 2" xfId="1"/>
    <cellStyle name="Normal 2 2" xfId="2"/>
    <cellStyle name="Normal 2 2 2" xfId="3"/>
    <cellStyle name="Normal 3" xfId="4"/>
    <cellStyle name="Normal 4" xfId="5"/>
    <cellStyle name="Normal_Test environment" xfId="6"/>
    <cellStyle name="Percent" xfId="7" builtinId="5"/>
  </cellStyles>
  <dxfs count="3">
    <dxf>
      <fill>
        <patternFill>
          <bgColor indexed="12"/>
        </patternFill>
      </fill>
    </dxf>
    <dxf>
      <fill>
        <patternFill>
          <bgColor indexed="10"/>
        </patternFill>
      </fill>
    </dxf>
    <dxf>
      <fill>
        <patternFill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6"/>
  <sheetViews>
    <sheetView zoomScaleNormal="100" workbookViewId="0">
      <selection activeCell="I7" sqref="I7"/>
    </sheetView>
  </sheetViews>
  <sheetFormatPr defaultRowHeight="12.5" x14ac:dyDescent="0.25"/>
  <cols>
    <col min="2" max="2" width="7.7265625" customWidth="1"/>
    <col min="3" max="3" width="15.1796875" customWidth="1"/>
    <col min="4" max="4" width="10.26953125" customWidth="1"/>
    <col min="5" max="5" width="19.453125" customWidth="1"/>
    <col min="6" max="6" width="25.7265625" customWidth="1"/>
    <col min="7" max="7" width="14.7265625" customWidth="1"/>
    <col min="8" max="8" width="18.54296875" customWidth="1"/>
    <col min="9" max="9" width="15.26953125" customWidth="1"/>
    <col min="10" max="10" width="10" customWidth="1"/>
  </cols>
  <sheetData>
    <row r="2" spans="2:10" ht="17.5" x14ac:dyDescent="0.35">
      <c r="D2" s="117" t="s">
        <v>65</v>
      </c>
      <c r="E2" s="117"/>
      <c r="F2" s="117"/>
    </row>
    <row r="3" spans="2:10" ht="13" thickBot="1" x14ac:dyDescent="0.3"/>
    <row r="4" spans="2:10" ht="15" x14ac:dyDescent="0.25">
      <c r="B4" s="121" t="s">
        <v>60</v>
      </c>
      <c r="C4" s="108"/>
      <c r="D4" s="121" t="s">
        <v>58</v>
      </c>
      <c r="E4" s="121" t="s">
        <v>57</v>
      </c>
      <c r="F4" s="121" t="s">
        <v>56</v>
      </c>
      <c r="G4" s="121" t="s">
        <v>64</v>
      </c>
      <c r="H4" s="121" t="s">
        <v>63</v>
      </c>
      <c r="I4" s="121" t="s">
        <v>53</v>
      </c>
    </row>
    <row r="5" spans="2:10" ht="15.5" thickBot="1" x14ac:dyDescent="0.3">
      <c r="B5" s="122"/>
      <c r="C5" s="107" t="s">
        <v>59</v>
      </c>
      <c r="D5" s="122"/>
      <c r="E5" s="122"/>
      <c r="F5" s="122"/>
      <c r="G5" s="122"/>
      <c r="H5" s="122"/>
      <c r="I5" s="122"/>
    </row>
    <row r="6" spans="2:10" ht="16" thickBot="1" x14ac:dyDescent="0.3">
      <c r="B6" s="106">
        <v>1</v>
      </c>
      <c r="C6" s="114">
        <v>46189</v>
      </c>
      <c r="D6" s="104">
        <v>0.1</v>
      </c>
      <c r="E6" s="104" t="s">
        <v>75</v>
      </c>
      <c r="F6" s="104" t="s">
        <v>77</v>
      </c>
      <c r="G6" s="104" t="s">
        <v>80</v>
      </c>
      <c r="H6" s="104" t="s">
        <v>79</v>
      </c>
      <c r="I6" s="104"/>
    </row>
    <row r="7" spans="2:10" ht="16" thickBot="1" x14ac:dyDescent="0.3">
      <c r="B7" s="106">
        <v>2</v>
      </c>
      <c r="C7" s="114">
        <v>46191</v>
      </c>
      <c r="D7" s="104">
        <v>1</v>
      </c>
      <c r="E7" s="104" t="s">
        <v>76</v>
      </c>
      <c r="F7" s="104" t="s">
        <v>78</v>
      </c>
      <c r="G7" s="104" t="s">
        <v>80</v>
      </c>
      <c r="H7" s="104" t="s">
        <v>79</v>
      </c>
      <c r="I7" s="104" t="s">
        <v>81</v>
      </c>
    </row>
    <row r="8" spans="2:10" ht="16" thickBot="1" x14ac:dyDescent="0.3">
      <c r="B8" s="105"/>
      <c r="C8" s="104"/>
      <c r="D8" s="102"/>
      <c r="E8" s="102"/>
      <c r="F8" s="102"/>
      <c r="G8" s="103"/>
      <c r="H8" s="102"/>
      <c r="I8" s="102"/>
    </row>
    <row r="9" spans="2:10" ht="16" thickBot="1" x14ac:dyDescent="0.3">
      <c r="B9" s="101"/>
      <c r="C9" s="99"/>
      <c r="D9" s="99"/>
      <c r="E9" s="100"/>
      <c r="F9" s="100"/>
      <c r="G9" s="99"/>
      <c r="H9" s="99"/>
      <c r="I9" s="99"/>
    </row>
    <row r="10" spans="2:10" ht="15.5" x14ac:dyDescent="0.35">
      <c r="B10" s="98"/>
      <c r="C10" s="98"/>
      <c r="D10" s="98"/>
      <c r="E10" s="98"/>
      <c r="F10" s="98"/>
      <c r="G10" s="98"/>
      <c r="H10" s="96"/>
    </row>
    <row r="11" spans="2:10" ht="15.5" x14ac:dyDescent="0.35">
      <c r="B11" s="123" t="s">
        <v>62</v>
      </c>
      <c r="C11" s="124"/>
      <c r="D11" s="124"/>
      <c r="E11" s="124"/>
      <c r="F11" s="124"/>
      <c r="G11" s="124"/>
      <c r="H11" s="124"/>
    </row>
    <row r="13" spans="2:10" ht="17.5" x14ac:dyDescent="0.35">
      <c r="B13" s="118" t="s">
        <v>61</v>
      </c>
      <c r="C13" s="118"/>
      <c r="D13" s="118"/>
      <c r="E13" s="118"/>
      <c r="F13" s="118"/>
      <c r="G13" s="118"/>
      <c r="H13" s="118"/>
    </row>
    <row r="14" spans="2:10" ht="15.5" x14ac:dyDescent="0.35">
      <c r="B14" s="98"/>
      <c r="C14" s="97"/>
      <c r="D14" s="97"/>
      <c r="E14" s="98"/>
      <c r="F14" s="97"/>
      <c r="G14" s="97"/>
      <c r="H14" s="96"/>
    </row>
    <row r="15" spans="2:10" ht="15" x14ac:dyDescent="0.25">
      <c r="B15" s="111" t="s">
        <v>60</v>
      </c>
      <c r="C15" s="111" t="s">
        <v>59</v>
      </c>
      <c r="D15" s="111" t="s">
        <v>58</v>
      </c>
      <c r="E15" s="111" t="s">
        <v>57</v>
      </c>
      <c r="F15" s="111" t="s">
        <v>56</v>
      </c>
      <c r="G15" s="111" t="s">
        <v>55</v>
      </c>
      <c r="H15" s="111" t="s">
        <v>54</v>
      </c>
      <c r="I15" s="111" t="s">
        <v>53</v>
      </c>
      <c r="J15" s="109"/>
    </row>
    <row r="16" spans="2:10" ht="15.5" x14ac:dyDescent="0.25">
      <c r="B16" s="112">
        <v>1</v>
      </c>
      <c r="C16" s="113">
        <v>40451</v>
      </c>
      <c r="D16" s="112">
        <v>1</v>
      </c>
      <c r="E16" s="112" t="s">
        <v>52</v>
      </c>
      <c r="F16" s="112" t="s">
        <v>50</v>
      </c>
      <c r="G16" s="112" t="s">
        <v>49</v>
      </c>
      <c r="H16" s="112" t="s">
        <v>43</v>
      </c>
      <c r="I16" s="112" t="s">
        <v>43</v>
      </c>
      <c r="J16" s="110"/>
    </row>
    <row r="17" spans="2:10" ht="15.5" x14ac:dyDescent="0.25">
      <c r="B17" s="112">
        <v>2</v>
      </c>
      <c r="C17" s="113">
        <v>41290</v>
      </c>
      <c r="D17" s="112">
        <v>1.1000000000000001</v>
      </c>
      <c r="E17" s="112" t="s">
        <v>51</v>
      </c>
      <c r="F17" s="112" t="s">
        <v>50</v>
      </c>
      <c r="G17" s="112" t="s">
        <v>49</v>
      </c>
      <c r="H17" s="112" t="s">
        <v>43</v>
      </c>
      <c r="I17" s="112" t="s">
        <v>43</v>
      </c>
      <c r="J17" s="110"/>
    </row>
    <row r="18" spans="2:10" ht="62" x14ac:dyDescent="0.25">
      <c r="B18" s="112">
        <v>3</v>
      </c>
      <c r="C18" s="113">
        <v>41617</v>
      </c>
      <c r="D18" s="112">
        <v>1.2</v>
      </c>
      <c r="E18" s="112" t="s">
        <v>48</v>
      </c>
      <c r="F18" s="112" t="s">
        <v>47</v>
      </c>
      <c r="G18" s="112" t="s">
        <v>44</v>
      </c>
      <c r="H18" s="112" t="s">
        <v>43</v>
      </c>
      <c r="I18" s="112" t="s">
        <v>43</v>
      </c>
      <c r="J18" s="110"/>
    </row>
    <row r="19" spans="2:10" ht="31" x14ac:dyDescent="0.25">
      <c r="B19" s="112">
        <v>4</v>
      </c>
      <c r="C19" s="113">
        <v>41731</v>
      </c>
      <c r="D19" s="112">
        <v>1.3</v>
      </c>
      <c r="E19" s="112" t="s">
        <v>46</v>
      </c>
      <c r="F19" s="112" t="s">
        <v>45</v>
      </c>
      <c r="G19" s="112" t="s">
        <v>44</v>
      </c>
      <c r="H19" s="112" t="s">
        <v>43</v>
      </c>
      <c r="I19" s="112" t="s">
        <v>43</v>
      </c>
      <c r="J19" s="110"/>
    </row>
    <row r="20" spans="2:10" ht="31" x14ac:dyDescent="0.25">
      <c r="B20" s="112">
        <v>5</v>
      </c>
      <c r="C20" s="113">
        <v>43416</v>
      </c>
      <c r="D20" s="112">
        <v>1.4</v>
      </c>
      <c r="E20" s="112" t="s">
        <v>66</v>
      </c>
      <c r="F20" s="112" t="s">
        <v>68</v>
      </c>
      <c r="G20" s="112" t="s">
        <v>67</v>
      </c>
      <c r="H20" s="112" t="s">
        <v>43</v>
      </c>
      <c r="I20" s="112" t="s">
        <v>43</v>
      </c>
      <c r="J20" s="110"/>
    </row>
    <row r="21" spans="2:10" x14ac:dyDescent="0.25">
      <c r="B21" s="119">
        <v>6</v>
      </c>
      <c r="C21" s="120">
        <v>45006</v>
      </c>
      <c r="D21" s="119">
        <v>1.5</v>
      </c>
      <c r="E21" s="119" t="s">
        <v>70</v>
      </c>
      <c r="F21" s="119" t="s">
        <v>71</v>
      </c>
      <c r="G21" s="119" t="s">
        <v>44</v>
      </c>
      <c r="H21" s="119" t="s">
        <v>72</v>
      </c>
      <c r="I21" s="119" t="s">
        <v>43</v>
      </c>
      <c r="J21" s="116"/>
    </row>
    <row r="22" spans="2:10" ht="42.75" customHeight="1" x14ac:dyDescent="0.25">
      <c r="B22" s="119"/>
      <c r="C22" s="120"/>
      <c r="D22" s="119"/>
      <c r="E22" s="119"/>
      <c r="F22" s="119"/>
      <c r="G22" s="119"/>
      <c r="H22" s="119"/>
      <c r="I22" s="119"/>
      <c r="J22" s="116"/>
    </row>
    <row r="23" spans="2:10" x14ac:dyDescent="0.25">
      <c r="B23" s="119">
        <v>7</v>
      </c>
      <c r="C23" s="120">
        <v>45733</v>
      </c>
      <c r="D23" s="119">
        <v>1.6</v>
      </c>
      <c r="E23" s="119" t="s">
        <v>73</v>
      </c>
      <c r="F23" s="119" t="s">
        <v>74</v>
      </c>
      <c r="G23" s="119" t="s">
        <v>44</v>
      </c>
      <c r="H23" s="119" t="s">
        <v>72</v>
      </c>
      <c r="I23" s="119" t="s">
        <v>43</v>
      </c>
    </row>
    <row r="24" spans="2:10" x14ac:dyDescent="0.25">
      <c r="B24" s="119"/>
      <c r="C24" s="120"/>
      <c r="D24" s="119"/>
      <c r="E24" s="119"/>
      <c r="F24" s="119"/>
      <c r="G24" s="119"/>
      <c r="H24" s="119"/>
      <c r="I24" s="119"/>
    </row>
    <row r="25" spans="2:10" x14ac:dyDescent="0.25">
      <c r="B25" s="119">
        <v>8</v>
      </c>
      <c r="C25" s="120">
        <v>46097</v>
      </c>
      <c r="D25" s="119">
        <v>1.7</v>
      </c>
      <c r="E25" s="119" t="s">
        <v>73</v>
      </c>
      <c r="F25" s="119" t="s">
        <v>74</v>
      </c>
      <c r="G25" s="119" t="s">
        <v>44</v>
      </c>
      <c r="H25" s="119" t="s">
        <v>72</v>
      </c>
      <c r="I25" s="119" t="s">
        <v>43</v>
      </c>
    </row>
    <row r="26" spans="2:10" x14ac:dyDescent="0.25">
      <c r="B26" s="119"/>
      <c r="C26" s="120"/>
      <c r="D26" s="119"/>
      <c r="E26" s="119"/>
      <c r="F26" s="119"/>
      <c r="G26" s="119"/>
      <c r="H26" s="119"/>
      <c r="I26" s="119"/>
    </row>
  </sheetData>
  <mergeCells count="35">
    <mergeCell ref="H25:H26"/>
    <mergeCell ref="I25:I26"/>
    <mergeCell ref="B25:B26"/>
    <mergeCell ref="C25:C26"/>
    <mergeCell ref="D25:D26"/>
    <mergeCell ref="E25:E26"/>
    <mergeCell ref="F25:F26"/>
    <mergeCell ref="G25:G26"/>
    <mergeCell ref="I23:I24"/>
    <mergeCell ref="I4:I5"/>
    <mergeCell ref="B11:H11"/>
    <mergeCell ref="I21:I22"/>
    <mergeCell ref="B23:B24"/>
    <mergeCell ref="C23:C24"/>
    <mergeCell ref="D23:D24"/>
    <mergeCell ref="E23:E24"/>
    <mergeCell ref="F23:F24"/>
    <mergeCell ref="G23:G24"/>
    <mergeCell ref="H23:H24"/>
    <mergeCell ref="B4:B5"/>
    <mergeCell ref="D4:D5"/>
    <mergeCell ref="E4:E5"/>
    <mergeCell ref="F4:F5"/>
    <mergeCell ref="G4:G5"/>
    <mergeCell ref="H4:H5"/>
    <mergeCell ref="J21:J22"/>
    <mergeCell ref="D2:F2"/>
    <mergeCell ref="B13:H13"/>
    <mergeCell ref="B21:B22"/>
    <mergeCell ref="C21:C22"/>
    <mergeCell ref="D21:D22"/>
    <mergeCell ref="E21:E22"/>
    <mergeCell ref="F21:F22"/>
    <mergeCell ref="G21:G22"/>
    <mergeCell ref="H21:H22"/>
  </mergeCells>
  <pageMargins left="0.75" right="0.75" top="0.61" bottom="0.4" header="0.19" footer="0.17"/>
  <pageSetup orientation="landscape" r:id="rId1"/>
  <headerFooter alignWithMargins="0">
    <oddHeader>&amp;R&amp;G</oddHeader>
    <oddFooter>&amp;LTest Case Specification and Tracking Sheet – ISL VAL T03             Ver 1.7               Confidential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M515"/>
  <sheetViews>
    <sheetView showZeros="0" zoomScaleNormal="100" workbookViewId="0">
      <selection activeCell="D6" sqref="D6"/>
    </sheetView>
  </sheetViews>
  <sheetFormatPr defaultRowHeight="12.5" outlineLevelCol="1" x14ac:dyDescent="0.25"/>
  <cols>
    <col min="1" max="1" width="20.26953125" customWidth="1"/>
    <col min="2" max="2" width="16.453125" customWidth="1"/>
    <col min="3" max="3" width="12" customWidth="1"/>
    <col min="4" max="4" width="12.453125" customWidth="1"/>
    <col min="5" max="5" width="17.54296875" hidden="1" customWidth="1" outlineLevel="1"/>
    <col min="6" max="6" width="12.453125" hidden="1" customWidth="1" outlineLevel="1"/>
    <col min="7" max="7" width="13.7265625" hidden="1" customWidth="1" outlineLevel="1"/>
    <col min="8" max="8" width="10.26953125" customWidth="1" collapsed="1"/>
    <col min="9" max="9" width="10.26953125" customWidth="1"/>
    <col min="10" max="11" width="11.7265625" customWidth="1"/>
    <col min="12" max="12" width="34.7265625" customWidth="1"/>
  </cols>
  <sheetData>
    <row r="1" spans="1:13" ht="20" x14ac:dyDescent="0.25">
      <c r="A1" s="34" t="s">
        <v>16</v>
      </c>
      <c r="B1" s="38" t="e">
        <f>'Test result'!C1</f>
        <v>#DIV/0!</v>
      </c>
      <c r="C1" s="125" t="s">
        <v>12</v>
      </c>
      <c r="D1" s="126"/>
      <c r="E1" s="126"/>
      <c r="F1" s="126"/>
      <c r="G1" s="126"/>
      <c r="H1" s="126"/>
      <c r="I1" s="126"/>
      <c r="J1" s="126"/>
      <c r="K1" s="126"/>
      <c r="L1" s="127"/>
    </row>
    <row r="2" spans="1:13" ht="20" x14ac:dyDescent="0.25">
      <c r="A2" s="35" t="s">
        <v>15</v>
      </c>
      <c r="B2" s="39" t="e">
        <f>'Test result'!C2</f>
        <v>#DIV/0!</v>
      </c>
      <c r="C2" s="128"/>
      <c r="D2" s="129"/>
      <c r="E2" s="129"/>
      <c r="F2" s="129"/>
      <c r="G2" s="129"/>
      <c r="H2" s="129"/>
      <c r="I2" s="129"/>
      <c r="J2" s="129"/>
      <c r="K2" s="129"/>
      <c r="L2" s="130"/>
    </row>
    <row r="3" spans="1:13" ht="20" x14ac:dyDescent="0.25">
      <c r="A3" s="36" t="s">
        <v>27</v>
      </c>
      <c r="B3" s="40" t="e">
        <f>'Test result'!C3</f>
        <v>#DIV/0!</v>
      </c>
      <c r="C3" s="128"/>
      <c r="D3" s="129"/>
      <c r="E3" s="129"/>
      <c r="F3" s="129"/>
      <c r="G3" s="129"/>
      <c r="H3" s="129"/>
      <c r="I3" s="129"/>
      <c r="J3" s="129"/>
      <c r="K3" s="129"/>
      <c r="L3" s="130"/>
    </row>
    <row r="4" spans="1:13" ht="20.5" thickBot="1" x14ac:dyDescent="0.3">
      <c r="A4" s="37" t="s">
        <v>32</v>
      </c>
      <c r="B4" s="41" t="e">
        <f>'Test result'!C4</f>
        <v>#DIV/0!</v>
      </c>
      <c r="C4" s="131"/>
      <c r="D4" s="132"/>
      <c r="E4" s="132"/>
      <c r="F4" s="132"/>
      <c r="G4" s="132"/>
      <c r="H4" s="132"/>
      <c r="I4" s="132"/>
      <c r="J4" s="132"/>
      <c r="K4" s="132"/>
      <c r="L4" s="133"/>
    </row>
    <row r="5" spans="1:13" ht="13" x14ac:dyDescent="0.25">
      <c r="A5" s="43" t="str">
        <f>'Test result'!G5</f>
        <v>Milestone</v>
      </c>
      <c r="B5" s="43" t="str">
        <f>'Test result'!G6</f>
        <v>Testing Type</v>
      </c>
      <c r="C5" s="43" t="str">
        <f>'Test result'!G7</f>
        <v>Version no</v>
      </c>
      <c r="D5" s="43" t="str">
        <f>'Test result'!G8</f>
        <v>Test Date</v>
      </c>
      <c r="E5" s="43" t="str">
        <f>'Test result'!G1</f>
        <v>Operating system</v>
      </c>
      <c r="F5" s="43" t="str">
        <f>'Test result'!G2</f>
        <v>Language</v>
      </c>
      <c r="G5" s="43" t="str">
        <f>'Test result'!G3</f>
        <v>Browser</v>
      </c>
      <c r="H5" s="43" t="str">
        <f>'Test result'!G11</f>
        <v>%Pass</v>
      </c>
      <c r="I5" s="43" t="str">
        <f>'Test result'!G12</f>
        <v>%Fail</v>
      </c>
      <c r="J5" s="43" t="str">
        <f>'Test result'!G13</f>
        <v>%Blocked</v>
      </c>
      <c r="K5" s="43" t="str">
        <f>'Test result'!G14</f>
        <v>%Not run</v>
      </c>
      <c r="L5" s="43" t="s">
        <v>13</v>
      </c>
      <c r="M5" s="42"/>
    </row>
    <row r="6" spans="1:13" ht="13" x14ac:dyDescent="0.25">
      <c r="A6" s="44" t="str">
        <f>'Test result'!H5</f>
        <v>Sprint wise</v>
      </c>
      <c r="B6" s="45" t="s">
        <v>82</v>
      </c>
      <c r="C6" s="45">
        <f>'Test result'!H7</f>
        <v>0.1</v>
      </c>
      <c r="D6" s="52">
        <f>'Test result'!H8</f>
        <v>46189</v>
      </c>
      <c r="E6" s="42" t="str">
        <f>'Test result'!H1</f>
        <v>Windows</v>
      </c>
      <c r="F6" s="46" t="str">
        <f>'Test result'!H2</f>
        <v>English</v>
      </c>
      <c r="G6" s="42" t="str">
        <f>'Test result'!H3</f>
        <v>Chrome</v>
      </c>
      <c r="H6" s="47" t="e">
        <f>'Test result'!H11</f>
        <v>#DIV/0!</v>
      </c>
      <c r="I6" s="47" t="e">
        <f>'Test result'!H12</f>
        <v>#DIV/0!</v>
      </c>
      <c r="J6" s="48" t="e">
        <f>'Test result'!H13</f>
        <v>#DIV/0!</v>
      </c>
      <c r="K6" s="48" t="e">
        <f>'Test result'!H14</f>
        <v>#DIV/0!</v>
      </c>
      <c r="L6" s="42"/>
      <c r="M6" s="42"/>
    </row>
    <row r="7" spans="1:13" ht="13" x14ac:dyDescent="0.25">
      <c r="A7" s="49" t="str">
        <f>'Test result'!I5</f>
        <v>Sprint wise</v>
      </c>
      <c r="B7" s="50" t="str">
        <f>'Test result'!I6</f>
        <v>Unit</v>
      </c>
      <c r="C7" s="45">
        <f>'Test result'!I7</f>
        <v>1</v>
      </c>
      <c r="D7" s="53">
        <f>'Test result'!I8</f>
        <v>46206</v>
      </c>
      <c r="E7" s="42" t="str">
        <f>'Test result'!I1</f>
        <v>Windows</v>
      </c>
      <c r="F7" s="46" t="str">
        <f>'Test result'!I2</f>
        <v>English</v>
      </c>
      <c r="G7" s="42" t="str">
        <f>'Test result'!I3</f>
        <v>Chrome</v>
      </c>
      <c r="H7" s="47" t="e">
        <f>'Test result'!I11</f>
        <v>#DIV/0!</v>
      </c>
      <c r="I7" s="47" t="e">
        <f>'Test result'!I12</f>
        <v>#DIV/0!</v>
      </c>
      <c r="J7" s="47" t="e">
        <f>'Test result'!I13</f>
        <v>#DIV/0!</v>
      </c>
      <c r="K7" s="47" t="e">
        <f>'Test result'!I14</f>
        <v>#DIV/0!</v>
      </c>
      <c r="L7" s="42"/>
      <c r="M7" s="42"/>
    </row>
    <row r="8" spans="1:13" ht="13" x14ac:dyDescent="0.25">
      <c r="A8" s="51">
        <f>'Test result'!J5</f>
        <v>0</v>
      </c>
      <c r="B8" s="50">
        <f>'Test result'!J6</f>
        <v>0</v>
      </c>
      <c r="C8" s="45">
        <f>'Test result'!J7</f>
        <v>0</v>
      </c>
      <c r="D8" s="53">
        <f>'Test result'!J8</f>
        <v>0</v>
      </c>
      <c r="E8" s="42">
        <f>'Test result'!J1</f>
        <v>0</v>
      </c>
      <c r="F8" s="46">
        <f>'Test result'!J2</f>
        <v>0</v>
      </c>
      <c r="G8" s="42">
        <f>'Test result'!J3</f>
        <v>0</v>
      </c>
      <c r="H8" s="47">
        <f>'Test result'!J11</f>
        <v>0</v>
      </c>
      <c r="I8" s="47">
        <f>'Test result'!J12</f>
        <v>0</v>
      </c>
      <c r="J8" s="47">
        <f>'Test result'!J13</f>
        <v>0</v>
      </c>
      <c r="K8" s="47">
        <f>'Test result'!J14</f>
        <v>0</v>
      </c>
      <c r="L8" s="42"/>
      <c r="M8" s="42"/>
    </row>
    <row r="9" spans="1:13" ht="13" x14ac:dyDescent="0.25">
      <c r="A9" s="44">
        <f>'Test result'!K5</f>
        <v>0</v>
      </c>
      <c r="B9" s="50">
        <f>'Test result'!K6</f>
        <v>0</v>
      </c>
      <c r="C9" s="45">
        <f>'Test result'!K7</f>
        <v>0</v>
      </c>
      <c r="D9" s="53">
        <f>'Test result'!K8</f>
        <v>0</v>
      </c>
      <c r="E9" s="42">
        <f>'Test result'!K1</f>
        <v>0</v>
      </c>
      <c r="F9" s="46">
        <f>'Test result'!K2</f>
        <v>0</v>
      </c>
      <c r="G9" s="42">
        <f>'Test result'!K3</f>
        <v>0</v>
      </c>
      <c r="H9" s="47">
        <f>'Test result'!K11</f>
        <v>0</v>
      </c>
      <c r="I9" s="47">
        <f>'Test result'!K12</f>
        <v>0</v>
      </c>
      <c r="J9" s="47">
        <f>'Test result'!K13</f>
        <v>0</v>
      </c>
      <c r="K9" s="47">
        <f>'Test result'!K14</f>
        <v>0</v>
      </c>
      <c r="L9" s="42"/>
      <c r="M9" s="42"/>
    </row>
    <row r="10" spans="1:13" ht="13" x14ac:dyDescent="0.25">
      <c r="A10" s="44">
        <f>'Test result'!L5</f>
        <v>0</v>
      </c>
      <c r="B10" s="50">
        <f>'Test result'!L6</f>
        <v>0</v>
      </c>
      <c r="C10" s="45">
        <f>'Test result'!L7</f>
        <v>0</v>
      </c>
      <c r="D10" s="53">
        <f>'Test result'!L8</f>
        <v>0</v>
      </c>
      <c r="E10" s="42">
        <f>'Test result'!L1</f>
        <v>0</v>
      </c>
      <c r="F10" s="46">
        <f>'Test result'!L2</f>
        <v>0</v>
      </c>
      <c r="G10" s="42">
        <f>'Test result'!L3</f>
        <v>0</v>
      </c>
      <c r="H10" s="47">
        <f>'Test result'!L11</f>
        <v>0</v>
      </c>
      <c r="I10" s="47">
        <f>'Test result'!L12</f>
        <v>0</v>
      </c>
      <c r="J10" s="47">
        <f>'Test result'!L13</f>
        <v>0</v>
      </c>
      <c r="K10" s="47">
        <f>'Test result'!L14</f>
        <v>0</v>
      </c>
      <c r="L10" s="42"/>
      <c r="M10" s="42"/>
    </row>
    <row r="11" spans="1:13" ht="13" x14ac:dyDescent="0.25">
      <c r="A11" s="44">
        <f>'Test result'!M5</f>
        <v>0</v>
      </c>
      <c r="B11" s="50">
        <f>'Test result'!M6</f>
        <v>0</v>
      </c>
      <c r="C11" s="45">
        <f>'Test result'!M7</f>
        <v>0</v>
      </c>
      <c r="D11" s="53">
        <f>'Test result'!M8</f>
        <v>0</v>
      </c>
      <c r="E11" s="42">
        <f>'Test result'!M1</f>
        <v>0</v>
      </c>
      <c r="F11" s="46">
        <f>'Test result'!M2</f>
        <v>0</v>
      </c>
      <c r="G11" s="42">
        <f>'Test result'!M3</f>
        <v>0</v>
      </c>
      <c r="H11" s="47">
        <f>'Test result'!M11</f>
        <v>0</v>
      </c>
      <c r="I11" s="47">
        <f>'Test result'!M12</f>
        <v>0</v>
      </c>
      <c r="J11" s="47">
        <f>'Test result'!M13</f>
        <v>0</v>
      </c>
      <c r="K11" s="47">
        <f>'Test result'!M14</f>
        <v>0</v>
      </c>
      <c r="L11" s="42"/>
      <c r="M11" s="42"/>
    </row>
    <row r="12" spans="1:13" ht="13" x14ac:dyDescent="0.25">
      <c r="A12" s="44">
        <f>'Test result'!N5</f>
        <v>0</v>
      </c>
      <c r="B12" s="50">
        <f>'Test result'!N6</f>
        <v>0</v>
      </c>
      <c r="C12" s="45">
        <f>'Test result'!N7</f>
        <v>0</v>
      </c>
      <c r="D12" s="53">
        <f>'Test result'!N8</f>
        <v>0</v>
      </c>
      <c r="E12" s="42">
        <f>'Test result'!N1</f>
        <v>0</v>
      </c>
      <c r="F12" s="46">
        <f>'Test result'!N2</f>
        <v>0</v>
      </c>
      <c r="G12" s="42">
        <f>'Test result'!N3</f>
        <v>0</v>
      </c>
      <c r="H12" s="47">
        <f>'Test result'!N11</f>
        <v>0</v>
      </c>
      <c r="I12" s="47">
        <f>'Test result'!N12</f>
        <v>0</v>
      </c>
      <c r="J12" s="47">
        <f>'Test result'!N13</f>
        <v>0</v>
      </c>
      <c r="K12" s="47">
        <f>'Test result'!N14</f>
        <v>0</v>
      </c>
      <c r="L12" s="42"/>
      <c r="M12" s="42"/>
    </row>
    <row r="13" spans="1:13" ht="13" x14ac:dyDescent="0.25">
      <c r="A13" s="44">
        <f>'Test result'!O5</f>
        <v>0</v>
      </c>
      <c r="B13" s="50">
        <f>'Test result'!O6</f>
        <v>0</v>
      </c>
      <c r="C13" s="45">
        <f>'Test result'!O7</f>
        <v>0</v>
      </c>
      <c r="D13" s="53">
        <f>'Test result'!O8</f>
        <v>0</v>
      </c>
      <c r="E13" s="42">
        <f>'Test result'!O1</f>
        <v>0</v>
      </c>
      <c r="F13" s="46">
        <f>'Test result'!O2</f>
        <v>0</v>
      </c>
      <c r="G13" s="42">
        <f>'Test result'!O3</f>
        <v>0</v>
      </c>
      <c r="H13" s="47">
        <f>'Test result'!O11</f>
        <v>0</v>
      </c>
      <c r="I13" s="47">
        <f>'Test result'!O12</f>
        <v>0</v>
      </c>
      <c r="J13" s="47">
        <f>'Test result'!O13</f>
        <v>0</v>
      </c>
      <c r="K13" s="47">
        <f>'Test result'!O14</f>
        <v>0</v>
      </c>
      <c r="L13" s="42"/>
      <c r="M13" s="42"/>
    </row>
    <row r="14" spans="1:13" ht="13" x14ac:dyDescent="0.25">
      <c r="A14" s="44">
        <f>'Test result'!P5</f>
        <v>0</v>
      </c>
      <c r="B14" s="50">
        <f>'Test result'!P6</f>
        <v>0</v>
      </c>
      <c r="C14" s="45">
        <f>'Test result'!P7</f>
        <v>0</v>
      </c>
      <c r="D14" s="53">
        <f>'Test result'!P8</f>
        <v>0</v>
      </c>
      <c r="E14" s="42">
        <f>'Test result'!P1</f>
        <v>0</v>
      </c>
      <c r="F14" s="46">
        <f>'Test result'!P2</f>
        <v>0</v>
      </c>
      <c r="G14" s="42">
        <f>'Test result'!P3</f>
        <v>0</v>
      </c>
      <c r="H14" s="47">
        <f>'Test result'!P11</f>
        <v>0</v>
      </c>
      <c r="I14" s="47">
        <f>'Test result'!P12</f>
        <v>0</v>
      </c>
      <c r="J14" s="47">
        <f>'Test result'!P13</f>
        <v>0</v>
      </c>
      <c r="K14" s="47">
        <f>'Test result'!P14</f>
        <v>0</v>
      </c>
      <c r="L14" s="42"/>
      <c r="M14" s="42"/>
    </row>
    <row r="15" spans="1:13" ht="13" x14ac:dyDescent="0.25">
      <c r="A15" s="44">
        <f>'Test result'!Q5</f>
        <v>0</v>
      </c>
      <c r="B15" s="50">
        <f>'Test result'!Q6</f>
        <v>0</v>
      </c>
      <c r="C15" s="45">
        <f>'Test result'!Q7</f>
        <v>0</v>
      </c>
      <c r="D15" s="53">
        <f>'Test result'!Q8</f>
        <v>0</v>
      </c>
      <c r="E15" s="42">
        <f>'Test result'!Q1</f>
        <v>0</v>
      </c>
      <c r="F15" s="46">
        <f>'Test result'!Q2</f>
        <v>0</v>
      </c>
      <c r="G15" s="42">
        <f>'Test result'!Q3</f>
        <v>0</v>
      </c>
      <c r="H15" s="47">
        <f>'Test result'!Q11</f>
        <v>0</v>
      </c>
      <c r="I15" s="47">
        <f>'Test result'!Q12</f>
        <v>0</v>
      </c>
      <c r="J15" s="47">
        <f>'Test result'!Q13</f>
        <v>0</v>
      </c>
      <c r="K15" s="47">
        <f>'Test result'!Q14</f>
        <v>0</v>
      </c>
      <c r="L15" s="42"/>
      <c r="M15" s="42"/>
    </row>
    <row r="16" spans="1:13" ht="13" x14ac:dyDescent="0.25">
      <c r="A16" s="44">
        <f>'Test result'!R5</f>
        <v>0</v>
      </c>
      <c r="B16" s="50">
        <f>'Test result'!R6</f>
        <v>0</v>
      </c>
      <c r="C16" s="45">
        <f>'Test result'!R7</f>
        <v>0</v>
      </c>
      <c r="D16" s="53">
        <f>'Test result'!R8</f>
        <v>0</v>
      </c>
      <c r="E16" s="42">
        <f>'Test result'!R1</f>
        <v>0</v>
      </c>
      <c r="F16" s="46">
        <f>'Test result'!R2</f>
        <v>0</v>
      </c>
      <c r="G16" s="42">
        <f>'Test result'!R3</f>
        <v>0</v>
      </c>
      <c r="H16" s="47">
        <f>'Test result'!R11</f>
        <v>0</v>
      </c>
      <c r="I16" s="47">
        <f>'Test result'!R12</f>
        <v>0</v>
      </c>
      <c r="J16" s="47">
        <f>'Test result'!R13</f>
        <v>0</v>
      </c>
      <c r="K16" s="47">
        <f>'Test result'!R14</f>
        <v>0</v>
      </c>
      <c r="L16" s="42"/>
      <c r="M16" s="42"/>
    </row>
    <row r="17" spans="1:13" ht="13" x14ac:dyDescent="0.25">
      <c r="A17" s="44">
        <f>'Test result'!S5</f>
        <v>0</v>
      </c>
      <c r="B17" s="50">
        <f>'Test result'!S6</f>
        <v>0</v>
      </c>
      <c r="C17" s="45">
        <f>'Test result'!S7</f>
        <v>0</v>
      </c>
      <c r="D17" s="53">
        <f>'Test result'!S8</f>
        <v>0</v>
      </c>
      <c r="E17" s="42">
        <f>'Test result'!S1</f>
        <v>0</v>
      </c>
      <c r="F17" s="46">
        <f>'Test result'!S2</f>
        <v>0</v>
      </c>
      <c r="G17" s="42">
        <f>'Test result'!S3</f>
        <v>0</v>
      </c>
      <c r="H17" s="47">
        <f>'Test result'!S11</f>
        <v>0</v>
      </c>
      <c r="I17" s="47">
        <f>'Test result'!S12</f>
        <v>0</v>
      </c>
      <c r="J17" s="47">
        <f>'Test result'!S13</f>
        <v>0</v>
      </c>
      <c r="K17" s="47">
        <f>'Test result'!S14</f>
        <v>0</v>
      </c>
      <c r="L17" s="42"/>
      <c r="M17" s="42"/>
    </row>
    <row r="18" spans="1:13" ht="13" x14ac:dyDescent="0.25">
      <c r="A18" s="44">
        <f>'Test result'!T5</f>
        <v>0</v>
      </c>
      <c r="B18" s="50">
        <f>'Test result'!T6</f>
        <v>0</v>
      </c>
      <c r="C18" s="45">
        <f>'Test result'!T7</f>
        <v>0</v>
      </c>
      <c r="D18" s="53">
        <f>'Test result'!T8</f>
        <v>0</v>
      </c>
      <c r="E18" s="42">
        <f>'Test result'!T1</f>
        <v>0</v>
      </c>
      <c r="F18" s="46">
        <f>'Test result'!T2</f>
        <v>0</v>
      </c>
      <c r="G18" s="42">
        <f>'Test result'!T3</f>
        <v>0</v>
      </c>
      <c r="H18" s="47">
        <f>'Test result'!T11</f>
        <v>0</v>
      </c>
      <c r="I18" s="47">
        <f>'Test result'!T12</f>
        <v>0</v>
      </c>
      <c r="J18" s="47">
        <f>'Test result'!T13</f>
        <v>0</v>
      </c>
      <c r="K18" s="47">
        <f>'Test result'!T14</f>
        <v>0</v>
      </c>
      <c r="L18" s="42"/>
      <c r="M18" s="42"/>
    </row>
    <row r="19" spans="1:13" ht="13" x14ac:dyDescent="0.25">
      <c r="A19" s="44">
        <f>'Test result'!U5</f>
        <v>0</v>
      </c>
      <c r="B19" s="50">
        <f>'Test result'!U6</f>
        <v>0</v>
      </c>
      <c r="C19" s="45">
        <f>'Test result'!U7</f>
        <v>0</v>
      </c>
      <c r="D19" s="53">
        <f>'Test result'!U8</f>
        <v>0</v>
      </c>
      <c r="E19" s="42">
        <f>'Test result'!U1</f>
        <v>0</v>
      </c>
      <c r="F19" s="46">
        <f>'Test result'!U2</f>
        <v>0</v>
      </c>
      <c r="G19" s="42">
        <f>'Test result'!U3</f>
        <v>0</v>
      </c>
      <c r="H19" s="47">
        <f>'Test result'!U11</f>
        <v>0</v>
      </c>
      <c r="I19" s="47">
        <f>'Test result'!U12</f>
        <v>0</v>
      </c>
      <c r="J19" s="47">
        <f>'Test result'!U13</f>
        <v>0</v>
      </c>
      <c r="K19" s="47">
        <f>'Test result'!U14</f>
        <v>0</v>
      </c>
      <c r="L19" s="42"/>
      <c r="M19" s="42"/>
    </row>
    <row r="20" spans="1:13" ht="13" x14ac:dyDescent="0.25">
      <c r="A20" s="44">
        <f>'Test result'!V5</f>
        <v>0</v>
      </c>
      <c r="B20" s="50">
        <f>'Test result'!V6</f>
        <v>0</v>
      </c>
      <c r="C20" s="45">
        <f>'Test result'!V7</f>
        <v>0</v>
      </c>
      <c r="D20" s="53">
        <f>'Test result'!V8</f>
        <v>0</v>
      </c>
      <c r="E20" s="42">
        <f>'Test result'!V1</f>
        <v>0</v>
      </c>
      <c r="F20" s="46">
        <f>'Test result'!V2</f>
        <v>0</v>
      </c>
      <c r="G20" s="42">
        <f>'Test result'!V3</f>
        <v>0</v>
      </c>
      <c r="H20" s="47">
        <f>'Test result'!V11</f>
        <v>0</v>
      </c>
      <c r="I20" s="47">
        <f>'Test result'!V12</f>
        <v>0</v>
      </c>
      <c r="J20" s="47">
        <f>'Test result'!V13</f>
        <v>0</v>
      </c>
      <c r="K20" s="47">
        <f>'Test result'!V14</f>
        <v>0</v>
      </c>
      <c r="L20" s="42"/>
      <c r="M20" s="42"/>
    </row>
    <row r="21" spans="1:13" ht="13" x14ac:dyDescent="0.25">
      <c r="A21" s="44">
        <f>'Test result'!W5</f>
        <v>0</v>
      </c>
      <c r="B21" s="50">
        <f>'Test result'!W6</f>
        <v>0</v>
      </c>
      <c r="C21" s="45">
        <f>'Test result'!W7</f>
        <v>0</v>
      </c>
      <c r="D21" s="53">
        <f>'Test result'!W8</f>
        <v>0</v>
      </c>
      <c r="E21" s="42">
        <f>'Test result'!W1</f>
        <v>0</v>
      </c>
      <c r="F21" s="46">
        <f>'Test result'!W2</f>
        <v>0</v>
      </c>
      <c r="G21" s="42">
        <f>'Test result'!W3</f>
        <v>0</v>
      </c>
      <c r="H21" s="47">
        <f>'Test result'!W11</f>
        <v>0</v>
      </c>
      <c r="I21" s="47">
        <f>'Test result'!W12</f>
        <v>0</v>
      </c>
      <c r="J21" s="47">
        <f>'Test result'!W13</f>
        <v>0</v>
      </c>
      <c r="K21" s="47">
        <f>'Test result'!W14</f>
        <v>0</v>
      </c>
      <c r="L21" s="42"/>
      <c r="M21" s="42"/>
    </row>
    <row r="22" spans="1:13" ht="13" x14ac:dyDescent="0.25">
      <c r="A22" s="44">
        <f>'Test result'!X5</f>
        <v>0</v>
      </c>
      <c r="B22" s="50">
        <f>'Test result'!X6</f>
        <v>0</v>
      </c>
      <c r="C22" s="45">
        <f>'Test result'!X7</f>
        <v>0</v>
      </c>
      <c r="D22" s="53">
        <f>'Test result'!X8</f>
        <v>0</v>
      </c>
      <c r="E22" s="42">
        <f>'Test result'!X1</f>
        <v>0</v>
      </c>
      <c r="F22" s="46">
        <f>'Test result'!X2</f>
        <v>0</v>
      </c>
      <c r="G22" s="42">
        <f>'Test result'!X3</f>
        <v>0</v>
      </c>
      <c r="H22" s="47">
        <f>'Test result'!X11</f>
        <v>0</v>
      </c>
      <c r="I22" s="47">
        <f>'Test result'!X12</f>
        <v>0</v>
      </c>
      <c r="J22" s="47">
        <f>'Test result'!X13</f>
        <v>0</v>
      </c>
      <c r="K22" s="47">
        <f>'Test result'!X14</f>
        <v>0</v>
      </c>
      <c r="L22" s="42"/>
      <c r="M22" s="42"/>
    </row>
    <row r="23" spans="1:13" ht="13" x14ac:dyDescent="0.25">
      <c r="A23" s="44">
        <f>'Test result'!Y5</f>
        <v>0</v>
      </c>
      <c r="B23" s="50">
        <f>'Test result'!Y6</f>
        <v>0</v>
      </c>
      <c r="C23" s="45">
        <f>'Test result'!Y7</f>
        <v>0</v>
      </c>
      <c r="D23" s="53">
        <f>'Test result'!Y8</f>
        <v>0</v>
      </c>
      <c r="E23" s="42">
        <f>'Test result'!Y1</f>
        <v>0</v>
      </c>
      <c r="F23" s="46">
        <f>'Test result'!Y2</f>
        <v>0</v>
      </c>
      <c r="G23" s="42">
        <f>'Test result'!Y3</f>
        <v>0</v>
      </c>
      <c r="H23" s="47">
        <f>'Test result'!Y11</f>
        <v>0</v>
      </c>
      <c r="I23" s="47">
        <f>'Test result'!Y12</f>
        <v>0</v>
      </c>
      <c r="J23" s="47">
        <f>'Test result'!Y13</f>
        <v>0</v>
      </c>
      <c r="K23" s="47">
        <f>'Test result'!Y14</f>
        <v>0</v>
      </c>
      <c r="L23" s="42"/>
      <c r="M23" s="42"/>
    </row>
    <row r="24" spans="1:13" ht="13" x14ac:dyDescent="0.25">
      <c r="A24" s="44">
        <f>'Test result'!Z5</f>
        <v>0</v>
      </c>
      <c r="B24" s="50">
        <f>'Test result'!Z6</f>
        <v>0</v>
      </c>
      <c r="C24" s="45">
        <f>'Test result'!Z7</f>
        <v>0</v>
      </c>
      <c r="D24" s="53">
        <f>'Test result'!Z8</f>
        <v>0</v>
      </c>
      <c r="E24" s="42">
        <f>'Test result'!Z1</f>
        <v>0</v>
      </c>
      <c r="F24" s="46">
        <f>'Test result'!Z2</f>
        <v>0</v>
      </c>
      <c r="G24" s="42">
        <f>'Test result'!Z3</f>
        <v>0</v>
      </c>
      <c r="H24" s="47">
        <f>'Test result'!Z11</f>
        <v>0</v>
      </c>
      <c r="I24" s="47">
        <f>'Test result'!Z12</f>
        <v>0</v>
      </c>
      <c r="J24" s="47">
        <f>'Test result'!Z13</f>
        <v>0</v>
      </c>
      <c r="K24" s="47">
        <f>'Test result'!Z14</f>
        <v>0</v>
      </c>
      <c r="L24" s="42"/>
      <c r="M24" s="42"/>
    </row>
    <row r="25" spans="1:13" ht="13" x14ac:dyDescent="0.25">
      <c r="A25" s="44">
        <f>'Test result'!AA5</f>
        <v>0</v>
      </c>
      <c r="B25" s="50">
        <f>'Test result'!AA6</f>
        <v>0</v>
      </c>
      <c r="C25" s="45">
        <f>'Test result'!AA7</f>
        <v>0</v>
      </c>
      <c r="D25" s="53">
        <f>'Test result'!AA8</f>
        <v>0</v>
      </c>
      <c r="E25" s="42">
        <f>'Test result'!AA1</f>
        <v>0</v>
      </c>
      <c r="F25" s="46">
        <f>'Test result'!AA2</f>
        <v>0</v>
      </c>
      <c r="G25" s="42">
        <f>'Test result'!AA3</f>
        <v>0</v>
      </c>
      <c r="H25" s="47">
        <f>'Test result'!AA11</f>
        <v>0</v>
      </c>
      <c r="I25" s="47">
        <f>'Test result'!AA12</f>
        <v>0</v>
      </c>
      <c r="J25" s="47">
        <f>'Test result'!AA13</f>
        <v>0</v>
      </c>
      <c r="K25" s="47">
        <f>'Test result'!AA14</f>
        <v>0</v>
      </c>
      <c r="L25" s="42"/>
      <c r="M25" s="42"/>
    </row>
    <row r="26" spans="1:13" ht="13" x14ac:dyDescent="0.25">
      <c r="A26" s="44">
        <f>'Test result'!AB5</f>
        <v>0</v>
      </c>
      <c r="B26" s="50">
        <f>'Test result'!AB6</f>
        <v>0</v>
      </c>
      <c r="C26" s="45">
        <f>'Test result'!AB7</f>
        <v>0</v>
      </c>
      <c r="D26" s="53">
        <f>'Test result'!AB8</f>
        <v>0</v>
      </c>
      <c r="E26" s="42">
        <f>'Test result'!AB1</f>
        <v>0</v>
      </c>
      <c r="F26" s="46">
        <f>'Test result'!AB2</f>
        <v>0</v>
      </c>
      <c r="G26" s="42">
        <f>'Test result'!AB3</f>
        <v>0</v>
      </c>
      <c r="H26" s="47">
        <f>'Test result'!AB11</f>
        <v>0</v>
      </c>
      <c r="I26" s="47">
        <f>'Test result'!AB12</f>
        <v>0</v>
      </c>
      <c r="J26" s="47">
        <f>'Test result'!AB13</f>
        <v>0</v>
      </c>
      <c r="K26" s="47">
        <f>'Test result'!AB14</f>
        <v>0</v>
      </c>
      <c r="L26" s="42"/>
      <c r="M26" s="42"/>
    </row>
    <row r="27" spans="1:13" ht="13" x14ac:dyDescent="0.25">
      <c r="A27" s="44">
        <f>'Test result'!AC5</f>
        <v>0</v>
      </c>
      <c r="B27" s="50">
        <f>'Test result'!AC6</f>
        <v>0</v>
      </c>
      <c r="C27" s="45">
        <f>'Test result'!AC7</f>
        <v>0</v>
      </c>
      <c r="D27" s="53">
        <f>'Test result'!AC8</f>
        <v>0</v>
      </c>
      <c r="E27" s="42">
        <f>'Test result'!AC1</f>
        <v>0</v>
      </c>
      <c r="F27" s="46">
        <f>'Test result'!AC2</f>
        <v>0</v>
      </c>
      <c r="G27" s="42">
        <f>'Test result'!AC3</f>
        <v>0</v>
      </c>
      <c r="H27" s="47">
        <f>'Test result'!AC11</f>
        <v>0</v>
      </c>
      <c r="I27" s="47">
        <f>'Test result'!AC12</f>
        <v>0</v>
      </c>
      <c r="J27" s="47">
        <f>'Test result'!AC13</f>
        <v>0</v>
      </c>
      <c r="K27" s="47">
        <f>'Test result'!AC14</f>
        <v>0</v>
      </c>
      <c r="L27" s="42"/>
      <c r="M27" s="42"/>
    </row>
    <row r="28" spans="1:13" ht="13" x14ac:dyDescent="0.25">
      <c r="A28" s="44">
        <f>'Test result'!AD5</f>
        <v>0</v>
      </c>
      <c r="B28" s="50">
        <f>'Test result'!AD6</f>
        <v>0</v>
      </c>
      <c r="C28" s="45">
        <f>'Test result'!AD7</f>
        <v>0</v>
      </c>
      <c r="D28" s="53">
        <f>'Test result'!AD8</f>
        <v>0</v>
      </c>
      <c r="E28" s="42">
        <f>'Test result'!AD1</f>
        <v>0</v>
      </c>
      <c r="F28" s="46">
        <f>'Test result'!AD2</f>
        <v>0</v>
      </c>
      <c r="G28" s="42">
        <f>'Test result'!AD3</f>
        <v>0</v>
      </c>
      <c r="H28" s="47">
        <f>'Test result'!AD11</f>
        <v>0</v>
      </c>
      <c r="I28" s="47">
        <f>'Test result'!AD12</f>
        <v>0</v>
      </c>
      <c r="J28" s="47">
        <f>'Test result'!AD13</f>
        <v>0</v>
      </c>
      <c r="K28" s="47">
        <f>'Test result'!AD14</f>
        <v>0</v>
      </c>
      <c r="L28" s="42"/>
      <c r="M28" s="42"/>
    </row>
    <row r="29" spans="1:13" ht="13" x14ac:dyDescent="0.25">
      <c r="A29" s="44">
        <f>'Test result'!AE5</f>
        <v>0</v>
      </c>
      <c r="B29" s="50">
        <f>'Test result'!AE6</f>
        <v>0</v>
      </c>
      <c r="C29" s="45">
        <f>'Test result'!AE7</f>
        <v>0</v>
      </c>
      <c r="D29" s="53">
        <f>'Test result'!AE8</f>
        <v>0</v>
      </c>
      <c r="E29" s="42">
        <f>'Test result'!AE1</f>
        <v>0</v>
      </c>
      <c r="F29" s="46">
        <f>'Test result'!AE2</f>
        <v>0</v>
      </c>
      <c r="G29" s="42">
        <f>'Test result'!AE3</f>
        <v>0</v>
      </c>
      <c r="H29" s="47">
        <f>'Test result'!AE11</f>
        <v>0</v>
      </c>
      <c r="I29" s="47">
        <f>'Test result'!AE12</f>
        <v>0</v>
      </c>
      <c r="J29" s="47">
        <f>'Test result'!AE13</f>
        <v>0</v>
      </c>
      <c r="K29" s="47">
        <f>'Test result'!AE14</f>
        <v>0</v>
      </c>
      <c r="L29" s="42"/>
      <c r="M29" s="42"/>
    </row>
    <row r="30" spans="1:13" ht="13" x14ac:dyDescent="0.25">
      <c r="A30" s="44">
        <f>'Test result'!AF5</f>
        <v>0</v>
      </c>
      <c r="B30" s="50">
        <f>'Test result'!AF6</f>
        <v>0</v>
      </c>
      <c r="C30" s="45">
        <f>'Test result'!AF7</f>
        <v>0</v>
      </c>
      <c r="D30" s="53">
        <f>'Test result'!AF8</f>
        <v>0</v>
      </c>
      <c r="E30" s="42">
        <f>'Test result'!AF1</f>
        <v>0</v>
      </c>
      <c r="F30" s="46">
        <f>'Test result'!AF2</f>
        <v>0</v>
      </c>
      <c r="G30" s="42">
        <f>'Test result'!AF3</f>
        <v>0</v>
      </c>
      <c r="H30" s="47">
        <f>'Test result'!AF11</f>
        <v>0</v>
      </c>
      <c r="I30" s="47">
        <f>'Test result'!AF12</f>
        <v>0</v>
      </c>
      <c r="J30" s="47">
        <f>'Test result'!AF13</f>
        <v>0</v>
      </c>
      <c r="K30" s="47">
        <f>'Test result'!AF14</f>
        <v>0</v>
      </c>
      <c r="L30" s="42"/>
      <c r="M30" s="42"/>
    </row>
    <row r="31" spans="1:13" ht="13" x14ac:dyDescent="0.25">
      <c r="A31" s="44">
        <f>'Test result'!AG5</f>
        <v>0</v>
      </c>
      <c r="B31" s="50">
        <f>'Test result'!AG6</f>
        <v>0</v>
      </c>
      <c r="C31" s="45">
        <f>'Test result'!AG7</f>
        <v>0</v>
      </c>
      <c r="D31" s="53">
        <f>'Test result'!AG8</f>
        <v>0</v>
      </c>
      <c r="E31" s="42">
        <f>'Test result'!AG1</f>
        <v>0</v>
      </c>
      <c r="F31" s="46">
        <f>'Test result'!AG2</f>
        <v>0</v>
      </c>
      <c r="G31" s="42">
        <f>'Test result'!AG3</f>
        <v>0</v>
      </c>
      <c r="H31" s="47">
        <f>'Test result'!AG11</f>
        <v>0</v>
      </c>
      <c r="I31" s="47">
        <f>'Test result'!AG12</f>
        <v>0</v>
      </c>
      <c r="J31" s="47">
        <f>'Test result'!AG13</f>
        <v>0</v>
      </c>
      <c r="K31" s="47">
        <f>'Test result'!AG14</f>
        <v>0</v>
      </c>
      <c r="L31" s="42"/>
      <c r="M31" s="42"/>
    </row>
    <row r="32" spans="1:13" ht="13" x14ac:dyDescent="0.25">
      <c r="A32" s="44">
        <f>'Test result'!AH5</f>
        <v>0</v>
      </c>
      <c r="B32" s="50">
        <f>'Test result'!AH6</f>
        <v>0</v>
      </c>
      <c r="C32" s="45">
        <f>'Test result'!AH7</f>
        <v>0</v>
      </c>
      <c r="D32" s="53">
        <f>'Test result'!AH8</f>
        <v>0</v>
      </c>
      <c r="E32" s="42">
        <f>'Test result'!AH1</f>
        <v>0</v>
      </c>
      <c r="F32" s="46">
        <f>'Test result'!AH2</f>
        <v>0</v>
      </c>
      <c r="G32" s="42">
        <f>'Test result'!AH3</f>
        <v>0</v>
      </c>
      <c r="H32" s="47">
        <f>'Test result'!AH11</f>
        <v>0</v>
      </c>
      <c r="I32" s="47">
        <f>'Test result'!AH12</f>
        <v>0</v>
      </c>
      <c r="J32" s="47">
        <f>'Test result'!AH13</f>
        <v>0</v>
      </c>
      <c r="K32" s="47">
        <f>'Test result'!AH14</f>
        <v>0</v>
      </c>
      <c r="L32" s="42"/>
      <c r="M32" s="42"/>
    </row>
    <row r="33" spans="1:13" ht="13" x14ac:dyDescent="0.25">
      <c r="A33" s="43">
        <f>'Test result'!AI5</f>
        <v>0</v>
      </c>
      <c r="B33" s="50">
        <f>'Test result'!AI6</f>
        <v>0</v>
      </c>
      <c r="C33" s="45">
        <f>'Test result'!AI7</f>
        <v>0</v>
      </c>
      <c r="D33" s="53">
        <f>'Test result'!AI8</f>
        <v>0</v>
      </c>
      <c r="E33" s="42">
        <f>'Test result'!AI1</f>
        <v>0</v>
      </c>
      <c r="F33" s="46">
        <f>'Test result'!AI2</f>
        <v>0</v>
      </c>
      <c r="G33" s="42">
        <f>'Test result'!AI3</f>
        <v>0</v>
      </c>
      <c r="H33" s="47">
        <f>'Test result'!AI11</f>
        <v>0</v>
      </c>
      <c r="I33" s="47">
        <f>'Test result'!AI12</f>
        <v>0</v>
      </c>
      <c r="J33" s="47">
        <f>'Test result'!AI13</f>
        <v>0</v>
      </c>
      <c r="K33" s="47">
        <f>'Test result'!AI14</f>
        <v>0</v>
      </c>
      <c r="L33" s="42"/>
      <c r="M33" s="42"/>
    </row>
    <row r="34" spans="1:13" ht="13" x14ac:dyDescent="0.25">
      <c r="A34" s="43"/>
      <c r="B34" s="42"/>
      <c r="C34" s="42"/>
      <c r="D34" s="53"/>
      <c r="E34" s="42"/>
      <c r="F34" s="42"/>
      <c r="G34" s="42"/>
      <c r="H34" s="47"/>
      <c r="I34" s="47"/>
      <c r="J34" s="47"/>
      <c r="K34" s="47">
        <f>'Test result'!AK14</f>
        <v>0</v>
      </c>
      <c r="L34" s="42"/>
      <c r="M34" s="42"/>
    </row>
    <row r="35" spans="1:13" ht="13" x14ac:dyDescent="0.25">
      <c r="A35" s="43"/>
      <c r="B35" s="42"/>
      <c r="C35" s="42"/>
      <c r="D35" s="53"/>
      <c r="E35" s="42"/>
      <c r="F35" s="42"/>
      <c r="G35" s="42"/>
      <c r="H35" s="47"/>
      <c r="I35" s="47"/>
      <c r="J35" s="47"/>
      <c r="K35" s="47"/>
      <c r="L35" s="42"/>
      <c r="M35" s="42"/>
    </row>
    <row r="36" spans="1:13" ht="13" x14ac:dyDescent="0.25">
      <c r="A36" s="43"/>
      <c r="B36" s="42"/>
      <c r="C36" s="42"/>
      <c r="D36" s="53"/>
      <c r="E36" s="42"/>
      <c r="F36" s="42"/>
      <c r="G36" s="42"/>
      <c r="H36" s="47"/>
      <c r="I36" s="47"/>
      <c r="J36" s="47"/>
      <c r="K36" s="47"/>
      <c r="L36" s="42"/>
      <c r="M36" s="42"/>
    </row>
    <row r="37" spans="1:13" ht="13" x14ac:dyDescent="0.25">
      <c r="A37" s="43"/>
      <c r="B37" s="42"/>
      <c r="C37" s="42"/>
      <c r="D37" s="53"/>
      <c r="E37" s="42"/>
      <c r="F37" s="42"/>
      <c r="G37" s="42"/>
      <c r="H37" s="47"/>
      <c r="I37" s="47"/>
      <c r="J37" s="47"/>
      <c r="K37" s="47"/>
      <c r="L37" s="42"/>
      <c r="M37" s="42"/>
    </row>
    <row r="38" spans="1:13" ht="13" x14ac:dyDescent="0.25">
      <c r="A38" s="43"/>
      <c r="B38" s="42"/>
      <c r="C38" s="42"/>
      <c r="D38" s="53"/>
      <c r="E38" s="42"/>
      <c r="F38" s="42"/>
      <c r="G38" s="42"/>
      <c r="H38" s="47"/>
      <c r="I38" s="47"/>
      <c r="J38" s="47"/>
      <c r="K38" s="47"/>
      <c r="L38" s="42"/>
      <c r="M38" s="42"/>
    </row>
    <row r="39" spans="1:13" ht="13" x14ac:dyDescent="0.25">
      <c r="A39" s="43"/>
      <c r="B39" s="42"/>
      <c r="C39" s="42"/>
      <c r="D39" s="53"/>
      <c r="E39" s="42"/>
      <c r="F39" s="42"/>
      <c r="G39" s="42"/>
      <c r="H39" s="47"/>
      <c r="I39" s="47"/>
      <c r="J39" s="47"/>
      <c r="K39" s="47"/>
      <c r="L39" s="42"/>
      <c r="M39" s="42"/>
    </row>
    <row r="40" spans="1:13" ht="13" x14ac:dyDescent="0.25">
      <c r="A40" s="43"/>
      <c r="B40" s="42"/>
      <c r="C40" s="42"/>
      <c r="D40" s="53"/>
      <c r="E40" s="42"/>
      <c r="F40" s="42"/>
      <c r="G40" s="42"/>
      <c r="H40" s="47"/>
      <c r="I40" s="47"/>
      <c r="J40" s="47"/>
      <c r="K40" s="47"/>
      <c r="L40" s="42"/>
      <c r="M40" s="42"/>
    </row>
    <row r="41" spans="1:13" ht="13" x14ac:dyDescent="0.25">
      <c r="A41" s="43"/>
      <c r="B41" s="42"/>
      <c r="C41" s="42"/>
      <c r="D41" s="53"/>
      <c r="E41" s="42"/>
      <c r="F41" s="42"/>
      <c r="G41" s="42"/>
      <c r="H41" s="47"/>
      <c r="I41" s="47"/>
      <c r="J41" s="47"/>
      <c r="K41" s="47"/>
      <c r="L41" s="42"/>
      <c r="M41" s="42"/>
    </row>
    <row r="42" spans="1:13" ht="13" x14ac:dyDescent="0.25">
      <c r="A42" s="43"/>
      <c r="B42" s="42"/>
      <c r="C42" s="42"/>
      <c r="D42" s="53"/>
      <c r="E42" s="42"/>
      <c r="F42" s="42"/>
      <c r="G42" s="42"/>
      <c r="H42" s="47"/>
      <c r="I42" s="47"/>
      <c r="J42" s="47"/>
      <c r="K42" s="47"/>
      <c r="L42" s="42"/>
      <c r="M42" s="42"/>
    </row>
    <row r="43" spans="1:13" ht="13" x14ac:dyDescent="0.25">
      <c r="A43" s="43"/>
      <c r="B43" s="42"/>
      <c r="C43" s="42"/>
      <c r="D43" s="53"/>
      <c r="E43" s="42"/>
      <c r="F43" s="42"/>
      <c r="G43" s="42"/>
      <c r="H43" s="47"/>
      <c r="I43" s="47"/>
      <c r="J43" s="47"/>
      <c r="K43" s="47"/>
      <c r="L43" s="42"/>
      <c r="M43" s="42"/>
    </row>
    <row r="44" spans="1:13" ht="13" x14ac:dyDescent="0.25">
      <c r="A44" s="43"/>
      <c r="B44" s="42"/>
      <c r="C44" s="42"/>
      <c r="D44" s="53"/>
      <c r="E44" s="42"/>
      <c r="F44" s="42"/>
      <c r="G44" s="42"/>
      <c r="H44" s="47"/>
      <c r="I44" s="47"/>
      <c r="J44" s="47"/>
      <c r="K44" s="47"/>
      <c r="L44" s="42"/>
      <c r="M44" s="42"/>
    </row>
    <row r="45" spans="1:13" ht="13" x14ac:dyDescent="0.25">
      <c r="A45" s="43"/>
      <c r="B45" s="42"/>
      <c r="C45" s="42"/>
      <c r="D45" s="53"/>
      <c r="E45" s="42"/>
      <c r="F45" s="42"/>
      <c r="G45" s="42"/>
      <c r="H45" s="47"/>
      <c r="I45" s="47"/>
      <c r="J45" s="47"/>
      <c r="K45" s="47"/>
      <c r="L45" s="42"/>
      <c r="M45" s="42"/>
    </row>
    <row r="46" spans="1:13" ht="13" x14ac:dyDescent="0.25">
      <c r="A46" s="43"/>
      <c r="B46" s="42"/>
      <c r="C46" s="42"/>
      <c r="D46" s="53"/>
      <c r="E46" s="42"/>
      <c r="F46" s="42"/>
      <c r="G46" s="42"/>
      <c r="H46" s="47"/>
      <c r="I46" s="47"/>
      <c r="J46" s="47"/>
      <c r="K46" s="47"/>
      <c r="L46" s="42"/>
      <c r="M46" s="42"/>
    </row>
    <row r="47" spans="1:13" ht="13" x14ac:dyDescent="0.25">
      <c r="A47" s="43"/>
      <c r="B47" s="42"/>
      <c r="C47" s="42"/>
      <c r="D47" s="53"/>
      <c r="E47" s="42"/>
      <c r="F47" s="42"/>
      <c r="G47" s="42"/>
      <c r="H47" s="47"/>
      <c r="I47" s="47"/>
      <c r="J47" s="47"/>
      <c r="K47" s="47"/>
      <c r="L47" s="42"/>
      <c r="M47" s="42"/>
    </row>
    <row r="48" spans="1:13" ht="13" x14ac:dyDescent="0.25">
      <c r="A48" s="43"/>
      <c r="B48" s="42"/>
      <c r="C48" s="42"/>
      <c r="D48" s="53"/>
      <c r="E48" s="42"/>
      <c r="F48" s="42"/>
      <c r="G48" s="42"/>
      <c r="H48" s="47"/>
      <c r="I48" s="47"/>
      <c r="J48" s="47"/>
      <c r="K48" s="47"/>
      <c r="L48" s="42"/>
      <c r="M48" s="42"/>
    </row>
    <row r="49" spans="1:13" ht="13" x14ac:dyDescent="0.25">
      <c r="A49" s="43"/>
      <c r="B49" s="42"/>
      <c r="C49" s="42"/>
      <c r="D49" s="53"/>
      <c r="E49" s="42"/>
      <c r="F49" s="42"/>
      <c r="G49" s="42"/>
      <c r="H49" s="47"/>
      <c r="I49" s="47"/>
      <c r="J49" s="47"/>
      <c r="K49" s="47"/>
      <c r="L49" s="42"/>
      <c r="M49" s="42"/>
    </row>
    <row r="50" spans="1:13" ht="13" x14ac:dyDescent="0.25">
      <c r="A50" s="43"/>
      <c r="B50" s="42"/>
      <c r="C50" s="42"/>
      <c r="D50" s="53"/>
      <c r="E50" s="42"/>
      <c r="F50" s="42"/>
      <c r="G50" s="42"/>
      <c r="H50" s="47"/>
      <c r="I50" s="47"/>
      <c r="J50" s="47"/>
      <c r="K50" s="47"/>
      <c r="L50" s="42"/>
      <c r="M50" s="42"/>
    </row>
    <row r="51" spans="1:13" ht="13" x14ac:dyDescent="0.25">
      <c r="A51" s="43"/>
      <c r="B51" s="42"/>
      <c r="C51" s="42"/>
      <c r="D51" s="53"/>
      <c r="E51" s="42"/>
      <c r="F51" s="42"/>
      <c r="G51" s="42"/>
      <c r="H51" s="47"/>
      <c r="I51" s="47"/>
      <c r="J51" s="47"/>
      <c r="K51" s="47"/>
      <c r="L51" s="42"/>
      <c r="M51" s="42"/>
    </row>
    <row r="52" spans="1:13" ht="13" x14ac:dyDescent="0.25">
      <c r="A52" s="43"/>
      <c r="B52" s="42"/>
      <c r="C52" s="42"/>
      <c r="D52" s="53"/>
      <c r="E52" s="42"/>
      <c r="F52" s="42"/>
      <c r="G52" s="42"/>
      <c r="H52" s="47"/>
      <c r="I52" s="47"/>
      <c r="J52" s="47"/>
      <c r="K52" s="47"/>
      <c r="L52" s="42"/>
      <c r="M52" s="42"/>
    </row>
    <row r="53" spans="1:13" ht="13" x14ac:dyDescent="0.25">
      <c r="A53" s="43"/>
      <c r="B53" s="42"/>
      <c r="C53" s="42"/>
      <c r="D53" s="53"/>
      <c r="E53" s="42"/>
      <c r="F53" s="42"/>
      <c r="G53" s="42"/>
      <c r="H53" s="47"/>
      <c r="I53" s="47"/>
      <c r="J53" s="47"/>
      <c r="K53" s="47"/>
      <c r="L53" s="42"/>
      <c r="M53" s="42"/>
    </row>
    <row r="54" spans="1:13" ht="13" x14ac:dyDescent="0.25">
      <c r="A54" s="43"/>
      <c r="B54" s="42"/>
      <c r="C54" s="42"/>
      <c r="D54" s="53"/>
      <c r="E54" s="42"/>
      <c r="F54" s="42"/>
      <c r="G54" s="42"/>
      <c r="H54" s="47"/>
      <c r="I54" s="47"/>
      <c r="J54" s="47"/>
      <c r="K54" s="47"/>
      <c r="L54" s="42"/>
      <c r="M54" s="42"/>
    </row>
    <row r="55" spans="1:13" ht="13" x14ac:dyDescent="0.25">
      <c r="A55" s="43"/>
      <c r="B55" s="42"/>
      <c r="C55" s="42"/>
      <c r="D55" s="53"/>
      <c r="E55" s="42"/>
      <c r="F55" s="42"/>
      <c r="G55" s="42"/>
      <c r="H55" s="47"/>
      <c r="I55" s="47"/>
      <c r="J55" s="47"/>
      <c r="K55" s="47"/>
      <c r="L55" s="42"/>
      <c r="M55" s="42"/>
    </row>
    <row r="56" spans="1:13" ht="13" x14ac:dyDescent="0.25">
      <c r="A56" s="43"/>
      <c r="B56" s="42"/>
      <c r="C56" s="42"/>
      <c r="D56" s="53"/>
      <c r="E56" s="42"/>
      <c r="F56" s="42"/>
      <c r="G56" s="42"/>
      <c r="H56" s="47"/>
      <c r="I56" s="47"/>
      <c r="J56" s="47"/>
      <c r="K56" s="47"/>
      <c r="L56" s="42"/>
      <c r="M56" s="42"/>
    </row>
    <row r="57" spans="1:13" ht="13" x14ac:dyDescent="0.25">
      <c r="A57" s="43"/>
      <c r="B57" s="42"/>
      <c r="C57" s="42"/>
      <c r="D57" s="53"/>
      <c r="E57" s="42"/>
      <c r="F57" s="42"/>
      <c r="G57" s="42"/>
      <c r="H57" s="47"/>
      <c r="I57" s="47"/>
      <c r="J57" s="47"/>
      <c r="K57" s="47"/>
      <c r="L57" s="42"/>
      <c r="M57" s="42"/>
    </row>
    <row r="58" spans="1:13" ht="13" x14ac:dyDescent="0.25">
      <c r="A58" s="43"/>
      <c r="B58" s="42"/>
      <c r="C58" s="42"/>
      <c r="D58" s="53"/>
      <c r="E58" s="42"/>
      <c r="F58" s="42"/>
      <c r="G58" s="42"/>
      <c r="H58" s="47"/>
      <c r="I58" s="47"/>
      <c r="J58" s="47"/>
      <c r="K58" s="47"/>
      <c r="L58" s="42"/>
      <c r="M58" s="42"/>
    </row>
    <row r="59" spans="1:13" ht="13" x14ac:dyDescent="0.25">
      <c r="A59" s="43"/>
      <c r="B59" s="42"/>
      <c r="C59" s="42"/>
      <c r="D59" s="53"/>
      <c r="E59" s="42"/>
      <c r="F59" s="42"/>
      <c r="G59" s="42"/>
      <c r="H59" s="47"/>
      <c r="I59" s="47"/>
      <c r="J59" s="47"/>
      <c r="K59" s="47"/>
      <c r="L59" s="42"/>
      <c r="M59" s="42"/>
    </row>
    <row r="60" spans="1:13" ht="13" x14ac:dyDescent="0.25">
      <c r="A60" s="43"/>
      <c r="B60" s="42"/>
      <c r="C60" s="42"/>
      <c r="D60" s="53"/>
      <c r="E60" s="42"/>
      <c r="F60" s="42"/>
      <c r="G60" s="42"/>
      <c r="H60" s="47"/>
      <c r="I60" s="47"/>
      <c r="J60" s="47"/>
      <c r="K60" s="47"/>
      <c r="L60" s="42"/>
      <c r="M60" s="42"/>
    </row>
    <row r="61" spans="1:13" ht="13" x14ac:dyDescent="0.25">
      <c r="A61" s="43"/>
      <c r="B61" s="42"/>
      <c r="C61" s="42"/>
      <c r="D61" s="53"/>
      <c r="E61" s="42"/>
      <c r="F61" s="42"/>
      <c r="G61" s="42"/>
      <c r="H61" s="47"/>
      <c r="I61" s="47"/>
      <c r="J61" s="47"/>
      <c r="K61" s="47"/>
      <c r="L61" s="42"/>
      <c r="M61" s="42"/>
    </row>
    <row r="62" spans="1:13" ht="13" x14ac:dyDescent="0.25">
      <c r="A62" s="43"/>
      <c r="B62" s="42"/>
      <c r="C62" s="42"/>
      <c r="D62" s="53"/>
      <c r="E62" s="42"/>
      <c r="F62" s="42"/>
      <c r="G62" s="42"/>
      <c r="H62" s="47"/>
      <c r="I62" s="47"/>
      <c r="J62" s="47"/>
      <c r="K62" s="47"/>
      <c r="L62" s="42"/>
      <c r="M62" s="42"/>
    </row>
    <row r="63" spans="1:13" ht="13" x14ac:dyDescent="0.25">
      <c r="A63" s="43"/>
      <c r="B63" s="42"/>
      <c r="C63" s="42"/>
      <c r="D63" s="53"/>
      <c r="E63" s="42"/>
      <c r="F63" s="42"/>
      <c r="G63" s="42"/>
      <c r="H63" s="47"/>
      <c r="I63" s="47"/>
      <c r="J63" s="47"/>
      <c r="K63" s="47"/>
      <c r="L63" s="42"/>
      <c r="M63" s="42"/>
    </row>
    <row r="64" spans="1:13" ht="13" x14ac:dyDescent="0.25">
      <c r="A64" s="43"/>
      <c r="B64" s="42"/>
      <c r="C64" s="42"/>
      <c r="D64" s="53"/>
      <c r="E64" s="42"/>
      <c r="F64" s="42"/>
      <c r="G64" s="42"/>
      <c r="H64" s="47"/>
      <c r="I64" s="47"/>
      <c r="J64" s="47"/>
      <c r="K64" s="47"/>
      <c r="L64" s="42"/>
      <c r="M64" s="42"/>
    </row>
    <row r="65" spans="1:13" ht="13" x14ac:dyDescent="0.25">
      <c r="A65" s="43"/>
      <c r="B65" s="42"/>
      <c r="C65" s="42"/>
      <c r="D65" s="53"/>
      <c r="E65" s="42"/>
      <c r="F65" s="42"/>
      <c r="G65" s="42"/>
      <c r="H65" s="47"/>
      <c r="I65" s="47"/>
      <c r="J65" s="47"/>
      <c r="K65" s="47"/>
      <c r="L65" s="42"/>
      <c r="M65" s="42"/>
    </row>
    <row r="66" spans="1:13" ht="13" x14ac:dyDescent="0.25">
      <c r="A66" s="43"/>
      <c r="B66" s="42"/>
      <c r="C66" s="42"/>
      <c r="D66" s="53"/>
      <c r="E66" s="42"/>
      <c r="F66" s="42"/>
      <c r="G66" s="42"/>
      <c r="H66" s="47"/>
      <c r="I66" s="47"/>
      <c r="J66" s="47"/>
      <c r="K66" s="47"/>
      <c r="L66" s="42"/>
      <c r="M66" s="42"/>
    </row>
    <row r="67" spans="1:13" ht="13" x14ac:dyDescent="0.25">
      <c r="A67" s="43"/>
      <c r="B67" s="42"/>
      <c r="C67" s="42"/>
      <c r="D67" s="53"/>
      <c r="E67" s="42"/>
      <c r="F67" s="42"/>
      <c r="G67" s="42"/>
      <c r="H67" s="47"/>
      <c r="I67" s="47"/>
      <c r="J67" s="47"/>
      <c r="K67" s="47"/>
      <c r="L67" s="42"/>
      <c r="M67" s="42"/>
    </row>
    <row r="68" spans="1:13" ht="13" x14ac:dyDescent="0.25">
      <c r="A68" s="43"/>
      <c r="B68" s="42"/>
      <c r="C68" s="42"/>
      <c r="D68" s="53"/>
      <c r="E68" s="42"/>
      <c r="F68" s="42"/>
      <c r="G68" s="42"/>
      <c r="H68" s="47"/>
      <c r="I68" s="47"/>
      <c r="J68" s="47"/>
      <c r="K68" s="47"/>
      <c r="L68" s="42"/>
      <c r="M68" s="42"/>
    </row>
    <row r="69" spans="1:13" ht="13" x14ac:dyDescent="0.25">
      <c r="A69" s="43"/>
      <c r="B69" s="42"/>
      <c r="C69" s="42"/>
      <c r="D69" s="53"/>
      <c r="E69" s="42"/>
      <c r="F69" s="42"/>
      <c r="G69" s="42"/>
      <c r="H69" s="47"/>
      <c r="I69" s="47"/>
      <c r="J69" s="47"/>
      <c r="K69" s="47"/>
      <c r="L69" s="42"/>
      <c r="M69" s="42"/>
    </row>
    <row r="70" spans="1:13" ht="13" x14ac:dyDescent="0.25">
      <c r="A70" s="43"/>
      <c r="B70" s="42"/>
      <c r="C70" s="42"/>
      <c r="D70" s="53"/>
      <c r="E70" s="42"/>
      <c r="F70" s="42"/>
      <c r="G70" s="42"/>
      <c r="H70" s="47"/>
      <c r="I70" s="47"/>
      <c r="J70" s="47"/>
      <c r="K70" s="47"/>
      <c r="L70" s="42"/>
      <c r="M70" s="42"/>
    </row>
    <row r="71" spans="1:13" ht="13" x14ac:dyDescent="0.25">
      <c r="A71" s="43"/>
      <c r="B71" s="42"/>
      <c r="C71" s="42"/>
      <c r="D71" s="53"/>
      <c r="E71" s="42"/>
      <c r="F71" s="42"/>
      <c r="G71" s="42"/>
      <c r="H71" s="47"/>
      <c r="I71" s="47"/>
      <c r="J71" s="47"/>
      <c r="K71" s="47"/>
      <c r="L71" s="42"/>
      <c r="M71" s="42"/>
    </row>
    <row r="72" spans="1:13" ht="13" x14ac:dyDescent="0.25">
      <c r="A72" s="43"/>
      <c r="B72" s="42"/>
      <c r="C72" s="42"/>
      <c r="D72" s="53"/>
      <c r="E72" s="42"/>
      <c r="F72" s="42"/>
      <c r="G72" s="42"/>
      <c r="H72" s="47"/>
      <c r="I72" s="47"/>
      <c r="J72" s="47"/>
      <c r="K72" s="47"/>
      <c r="L72" s="42"/>
      <c r="M72" s="42"/>
    </row>
    <row r="73" spans="1:13" ht="13" x14ac:dyDescent="0.25">
      <c r="A73" s="43"/>
      <c r="B73" s="42"/>
      <c r="C73" s="42"/>
      <c r="D73" s="53"/>
      <c r="E73" s="42"/>
      <c r="F73" s="42"/>
      <c r="G73" s="42"/>
      <c r="H73" s="42"/>
      <c r="I73" s="42"/>
      <c r="J73" s="42"/>
      <c r="K73" s="42"/>
      <c r="L73" s="42"/>
      <c r="M73" s="42"/>
    </row>
    <row r="74" spans="1:13" ht="13" x14ac:dyDescent="0.25">
      <c r="A74" s="43"/>
      <c r="B74" s="42"/>
      <c r="C74" s="42"/>
      <c r="D74" s="53"/>
      <c r="E74" s="42"/>
      <c r="F74" s="42"/>
      <c r="G74" s="42"/>
      <c r="H74" s="42"/>
      <c r="I74" s="42"/>
      <c r="J74" s="42"/>
      <c r="K74" s="42"/>
      <c r="L74" s="42"/>
      <c r="M74" s="42"/>
    </row>
    <row r="75" spans="1:13" ht="13" x14ac:dyDescent="0.25">
      <c r="A75" s="43"/>
      <c r="B75" s="42"/>
      <c r="C75" s="42"/>
      <c r="D75" s="53"/>
      <c r="E75" s="42"/>
      <c r="F75" s="42"/>
      <c r="G75" s="42"/>
      <c r="H75" s="42"/>
      <c r="I75" s="42"/>
      <c r="J75" s="42"/>
      <c r="K75" s="42"/>
      <c r="L75" s="42"/>
      <c r="M75" s="42"/>
    </row>
    <row r="76" spans="1:13" ht="13" x14ac:dyDescent="0.25">
      <c r="A76" s="43"/>
      <c r="B76" s="42"/>
      <c r="C76" s="42"/>
      <c r="D76" s="53"/>
      <c r="E76" s="42"/>
      <c r="F76" s="42"/>
      <c r="G76" s="42"/>
      <c r="H76" s="42"/>
      <c r="I76" s="42"/>
      <c r="J76" s="42"/>
      <c r="K76" s="42"/>
      <c r="L76" s="42"/>
      <c r="M76" s="42"/>
    </row>
    <row r="77" spans="1:13" ht="13" x14ac:dyDescent="0.25">
      <c r="A77" s="43"/>
      <c r="B77" s="42"/>
      <c r="C77" s="42"/>
      <c r="D77" s="53"/>
      <c r="E77" s="42"/>
      <c r="F77" s="42"/>
      <c r="G77" s="42"/>
      <c r="H77" s="42"/>
      <c r="I77" s="42"/>
      <c r="J77" s="42"/>
      <c r="K77" s="42"/>
      <c r="L77" s="42"/>
      <c r="M77" s="42"/>
    </row>
    <row r="78" spans="1:13" ht="13" x14ac:dyDescent="0.25">
      <c r="A78" s="43"/>
      <c r="B78" s="42"/>
      <c r="C78" s="42"/>
      <c r="D78" s="53"/>
      <c r="E78" s="42"/>
      <c r="F78" s="42"/>
      <c r="G78" s="42"/>
      <c r="H78" s="42"/>
      <c r="I78" s="42"/>
      <c r="J78" s="42"/>
      <c r="K78" s="42"/>
      <c r="L78" s="42"/>
      <c r="M78" s="42"/>
    </row>
    <row r="79" spans="1:13" ht="13" x14ac:dyDescent="0.25">
      <c r="A79" s="43"/>
      <c r="B79" s="42"/>
      <c r="C79" s="42"/>
      <c r="D79" s="53"/>
      <c r="E79" s="42"/>
      <c r="F79" s="42"/>
      <c r="G79" s="42"/>
      <c r="H79" s="42"/>
      <c r="I79" s="42"/>
      <c r="J79" s="42"/>
      <c r="K79" s="42"/>
      <c r="L79" s="42"/>
      <c r="M79" s="42"/>
    </row>
    <row r="80" spans="1:13" ht="13" x14ac:dyDescent="0.25">
      <c r="A80" s="43"/>
      <c r="B80" s="42"/>
      <c r="C80" s="42"/>
      <c r="D80" s="53"/>
      <c r="E80" s="42"/>
      <c r="F80" s="42"/>
      <c r="G80" s="42"/>
      <c r="H80" s="42"/>
      <c r="I80" s="42"/>
      <c r="J80" s="42"/>
      <c r="K80" s="42"/>
      <c r="L80" s="42"/>
      <c r="M80" s="42"/>
    </row>
    <row r="81" spans="1:13" ht="13" x14ac:dyDescent="0.25">
      <c r="A81" s="43"/>
      <c r="B81" s="42"/>
      <c r="C81" s="42"/>
      <c r="D81" s="53"/>
      <c r="E81" s="42"/>
      <c r="F81" s="42"/>
      <c r="G81" s="42"/>
      <c r="H81" s="42"/>
      <c r="I81" s="42"/>
      <c r="J81" s="42"/>
      <c r="K81" s="42"/>
      <c r="L81" s="42"/>
      <c r="M81" s="42"/>
    </row>
    <row r="82" spans="1:13" ht="13" x14ac:dyDescent="0.25">
      <c r="A82" s="43"/>
      <c r="B82" s="42"/>
      <c r="C82" s="42"/>
      <c r="D82" s="53"/>
      <c r="E82" s="42"/>
      <c r="F82" s="42"/>
      <c r="G82" s="42"/>
      <c r="H82" s="42"/>
      <c r="I82" s="42"/>
      <c r="J82" s="42"/>
      <c r="K82" s="42"/>
      <c r="L82" s="42"/>
      <c r="M82" s="42"/>
    </row>
    <row r="83" spans="1:13" ht="13" x14ac:dyDescent="0.25">
      <c r="A83" s="43"/>
      <c r="B83" s="42"/>
      <c r="C83" s="42"/>
      <c r="D83" s="53"/>
      <c r="E83" s="42"/>
      <c r="F83" s="42"/>
      <c r="G83" s="42"/>
      <c r="H83" s="42"/>
      <c r="I83" s="42"/>
      <c r="J83" s="42"/>
      <c r="K83" s="42"/>
      <c r="L83" s="42"/>
      <c r="M83" s="42"/>
    </row>
    <row r="84" spans="1:13" ht="13" x14ac:dyDescent="0.25">
      <c r="A84" s="43"/>
      <c r="B84" s="42"/>
      <c r="C84" s="42"/>
      <c r="D84" s="53"/>
      <c r="E84" s="42"/>
      <c r="F84" s="42"/>
      <c r="G84" s="42"/>
      <c r="H84" s="42"/>
      <c r="I84" s="42"/>
      <c r="J84" s="42"/>
      <c r="K84" s="42"/>
      <c r="L84" s="42"/>
      <c r="M84" s="42"/>
    </row>
    <row r="85" spans="1:13" ht="13" x14ac:dyDescent="0.25">
      <c r="A85" s="43"/>
      <c r="B85" s="42"/>
      <c r="C85" s="42"/>
      <c r="D85" s="53"/>
      <c r="E85" s="42"/>
      <c r="F85" s="42"/>
      <c r="G85" s="42"/>
      <c r="H85" s="42"/>
      <c r="I85" s="42"/>
      <c r="J85" s="42"/>
      <c r="K85" s="42"/>
      <c r="L85" s="42"/>
      <c r="M85" s="42"/>
    </row>
    <row r="86" spans="1:13" ht="13" x14ac:dyDescent="0.25">
      <c r="A86" s="43"/>
      <c r="B86" s="42"/>
      <c r="C86" s="42"/>
      <c r="D86" s="53"/>
      <c r="E86" s="42"/>
      <c r="F86" s="42"/>
      <c r="G86" s="42"/>
      <c r="H86" s="42"/>
      <c r="I86" s="42"/>
      <c r="J86" s="42"/>
      <c r="K86" s="42"/>
      <c r="L86" s="42"/>
      <c r="M86" s="42"/>
    </row>
    <row r="87" spans="1:13" ht="13" x14ac:dyDescent="0.25">
      <c r="A87" s="43"/>
      <c r="B87" s="42"/>
      <c r="C87" s="42"/>
      <c r="D87" s="53"/>
      <c r="E87" s="42"/>
      <c r="F87" s="42"/>
      <c r="G87" s="42"/>
      <c r="H87" s="42"/>
      <c r="I87" s="42"/>
      <c r="J87" s="42"/>
      <c r="K87" s="42"/>
      <c r="L87" s="42"/>
      <c r="M87" s="42"/>
    </row>
    <row r="88" spans="1:13" ht="13" x14ac:dyDescent="0.25">
      <c r="A88" s="43"/>
      <c r="B88" s="42"/>
      <c r="C88" s="42"/>
      <c r="D88" s="53"/>
      <c r="E88" s="42"/>
      <c r="F88" s="42"/>
      <c r="G88" s="42"/>
      <c r="H88" s="42"/>
      <c r="I88" s="42"/>
      <c r="J88" s="42"/>
      <c r="K88" s="42"/>
      <c r="L88" s="42"/>
      <c r="M88" s="42"/>
    </row>
    <row r="89" spans="1:13" ht="13" x14ac:dyDescent="0.25">
      <c r="A89" s="43"/>
      <c r="B89" s="42"/>
      <c r="C89" s="42"/>
      <c r="D89" s="53"/>
      <c r="E89" s="42"/>
      <c r="F89" s="42"/>
      <c r="G89" s="42"/>
      <c r="H89" s="42"/>
      <c r="I89" s="42"/>
      <c r="J89" s="42"/>
      <c r="K89" s="42"/>
      <c r="L89" s="42"/>
      <c r="M89" s="42"/>
    </row>
    <row r="90" spans="1:13" ht="13" x14ac:dyDescent="0.25">
      <c r="A90" s="43"/>
      <c r="B90" s="42"/>
      <c r="C90" s="42"/>
      <c r="D90" s="53"/>
      <c r="E90" s="42"/>
      <c r="F90" s="42"/>
      <c r="G90" s="42"/>
      <c r="H90" s="42"/>
      <c r="I90" s="42"/>
      <c r="J90" s="42"/>
      <c r="K90" s="42"/>
      <c r="L90" s="42"/>
      <c r="M90" s="42"/>
    </row>
    <row r="91" spans="1:13" ht="13" x14ac:dyDescent="0.25">
      <c r="A91" s="43"/>
      <c r="B91" s="42"/>
      <c r="C91" s="42"/>
      <c r="D91" s="53"/>
      <c r="E91" s="42"/>
      <c r="F91" s="42"/>
      <c r="G91" s="42"/>
      <c r="H91" s="42"/>
      <c r="I91" s="42"/>
      <c r="J91" s="42"/>
      <c r="K91" s="42"/>
      <c r="L91" s="42"/>
      <c r="M91" s="42"/>
    </row>
    <row r="92" spans="1:13" ht="13" x14ac:dyDescent="0.25">
      <c r="A92" s="43"/>
      <c r="B92" s="42"/>
      <c r="C92" s="42"/>
      <c r="D92" s="53"/>
      <c r="E92" s="42"/>
      <c r="F92" s="42"/>
      <c r="G92" s="42"/>
      <c r="H92" s="42"/>
      <c r="I92" s="42"/>
      <c r="J92" s="42"/>
      <c r="K92" s="42"/>
      <c r="L92" s="42"/>
      <c r="M92" s="42"/>
    </row>
    <row r="93" spans="1:13" ht="13" x14ac:dyDescent="0.25">
      <c r="A93" s="43"/>
      <c r="B93" s="42"/>
      <c r="C93" s="42"/>
      <c r="D93" s="53"/>
      <c r="E93" s="42"/>
      <c r="F93" s="42"/>
      <c r="G93" s="42"/>
      <c r="H93" s="42"/>
      <c r="I93" s="42"/>
      <c r="J93" s="42"/>
      <c r="K93" s="42"/>
      <c r="L93" s="42"/>
      <c r="M93" s="42"/>
    </row>
    <row r="94" spans="1:13" ht="13" x14ac:dyDescent="0.25">
      <c r="A94" s="43"/>
      <c r="B94" s="42"/>
      <c r="C94" s="42"/>
      <c r="D94" s="53"/>
      <c r="E94" s="42"/>
      <c r="F94" s="42"/>
      <c r="G94" s="42"/>
      <c r="H94" s="42"/>
      <c r="I94" s="42"/>
      <c r="J94" s="42"/>
      <c r="K94" s="42"/>
      <c r="L94" s="42"/>
      <c r="M94" s="42"/>
    </row>
    <row r="95" spans="1:13" ht="13" x14ac:dyDescent="0.25">
      <c r="A95" s="43"/>
      <c r="B95" s="42"/>
      <c r="C95" s="42"/>
      <c r="D95" s="53"/>
      <c r="E95" s="42"/>
      <c r="F95" s="42"/>
      <c r="G95" s="42"/>
      <c r="H95" s="42"/>
      <c r="I95" s="42"/>
      <c r="J95" s="42"/>
      <c r="K95" s="42"/>
      <c r="L95" s="42"/>
      <c r="M95" s="42"/>
    </row>
    <row r="96" spans="1:13" ht="13" x14ac:dyDescent="0.25">
      <c r="A96" s="43"/>
      <c r="B96" s="42"/>
      <c r="C96" s="42"/>
      <c r="D96" s="53"/>
      <c r="E96" s="42"/>
      <c r="F96" s="42"/>
      <c r="G96" s="42"/>
      <c r="H96" s="42"/>
      <c r="I96" s="42"/>
      <c r="J96" s="42"/>
      <c r="K96" s="42"/>
      <c r="L96" s="42"/>
      <c r="M96" s="42"/>
    </row>
    <row r="97" spans="1:13" ht="13" x14ac:dyDescent="0.25">
      <c r="A97" s="43"/>
      <c r="B97" s="42"/>
      <c r="C97" s="42"/>
      <c r="D97" s="53"/>
      <c r="E97" s="42"/>
      <c r="F97" s="42"/>
      <c r="G97" s="42"/>
      <c r="H97" s="42"/>
      <c r="I97" s="42"/>
      <c r="J97" s="42"/>
      <c r="K97" s="42"/>
      <c r="L97" s="42"/>
      <c r="M97" s="42"/>
    </row>
    <row r="98" spans="1:13" ht="13" x14ac:dyDescent="0.25">
      <c r="A98" s="43"/>
      <c r="B98" s="42"/>
      <c r="C98" s="42"/>
      <c r="D98" s="53"/>
      <c r="E98" s="42"/>
      <c r="F98" s="42"/>
      <c r="G98" s="42"/>
      <c r="H98" s="42"/>
      <c r="I98" s="42"/>
      <c r="J98" s="42"/>
      <c r="K98" s="42"/>
      <c r="L98" s="42"/>
      <c r="M98" s="42"/>
    </row>
    <row r="99" spans="1:13" ht="13" x14ac:dyDescent="0.25">
      <c r="A99" s="43"/>
      <c r="B99" s="42"/>
      <c r="C99" s="42"/>
      <c r="D99" s="53"/>
      <c r="E99" s="42"/>
      <c r="F99" s="42"/>
      <c r="G99" s="42"/>
      <c r="H99" s="42"/>
      <c r="I99" s="42"/>
      <c r="J99" s="42"/>
      <c r="K99" s="42"/>
      <c r="L99" s="42"/>
      <c r="M99" s="42"/>
    </row>
    <row r="100" spans="1:13" ht="13" x14ac:dyDescent="0.25">
      <c r="A100" s="43"/>
      <c r="B100" s="42"/>
      <c r="C100" s="42"/>
      <c r="D100" s="53"/>
      <c r="E100" s="42"/>
      <c r="F100" s="42"/>
      <c r="G100" s="42"/>
      <c r="H100" s="42"/>
      <c r="I100" s="42"/>
      <c r="J100" s="42"/>
      <c r="K100" s="42"/>
      <c r="L100" s="42"/>
      <c r="M100" s="42"/>
    </row>
    <row r="101" spans="1:13" ht="13" x14ac:dyDescent="0.25">
      <c r="A101" s="43"/>
      <c r="B101" s="42"/>
      <c r="C101" s="42"/>
      <c r="D101" s="53"/>
      <c r="E101" s="42"/>
      <c r="F101" s="42"/>
      <c r="G101" s="42"/>
      <c r="H101" s="42"/>
      <c r="I101" s="42"/>
      <c r="J101" s="42"/>
      <c r="K101" s="42"/>
      <c r="L101" s="42"/>
      <c r="M101" s="42"/>
    </row>
    <row r="102" spans="1:13" ht="13" x14ac:dyDescent="0.25">
      <c r="A102" s="43"/>
      <c r="B102" s="42"/>
      <c r="C102" s="42"/>
      <c r="D102" s="53"/>
      <c r="E102" s="42"/>
      <c r="F102" s="42"/>
      <c r="G102" s="42"/>
      <c r="H102" s="42"/>
      <c r="I102" s="42"/>
      <c r="J102" s="42"/>
      <c r="K102" s="42"/>
      <c r="L102" s="42"/>
      <c r="M102" s="42"/>
    </row>
    <row r="103" spans="1:13" ht="13" x14ac:dyDescent="0.25">
      <c r="A103" s="43"/>
      <c r="B103" s="42"/>
      <c r="C103" s="42"/>
      <c r="D103" s="53"/>
      <c r="E103" s="42"/>
      <c r="F103" s="42"/>
      <c r="G103" s="42"/>
      <c r="H103" s="42"/>
      <c r="I103" s="42"/>
      <c r="J103" s="42"/>
      <c r="K103" s="42"/>
      <c r="L103" s="42"/>
      <c r="M103" s="42"/>
    </row>
    <row r="104" spans="1:13" ht="13" x14ac:dyDescent="0.25">
      <c r="A104" s="43"/>
      <c r="B104" s="42"/>
      <c r="C104" s="42"/>
      <c r="D104" s="53"/>
      <c r="E104" s="42"/>
      <c r="F104" s="42"/>
      <c r="G104" s="42"/>
      <c r="H104" s="42"/>
      <c r="I104" s="42"/>
      <c r="J104" s="42"/>
      <c r="K104" s="42"/>
      <c r="L104" s="42"/>
      <c r="M104" s="42"/>
    </row>
    <row r="105" spans="1:13" ht="13" x14ac:dyDescent="0.25">
      <c r="A105" s="43"/>
      <c r="B105" s="42"/>
      <c r="C105" s="42"/>
      <c r="D105" s="53"/>
      <c r="E105" s="42"/>
      <c r="F105" s="42"/>
      <c r="G105" s="42"/>
      <c r="H105" s="42"/>
      <c r="I105" s="42"/>
      <c r="J105" s="42"/>
      <c r="K105" s="42"/>
      <c r="L105" s="42"/>
      <c r="M105" s="42"/>
    </row>
    <row r="106" spans="1:13" ht="13" x14ac:dyDescent="0.25">
      <c r="A106" s="43"/>
      <c r="B106" s="42"/>
      <c r="C106" s="42"/>
      <c r="D106" s="53"/>
      <c r="E106" s="42"/>
      <c r="F106" s="42"/>
      <c r="G106" s="42"/>
      <c r="H106" s="42"/>
      <c r="I106" s="42"/>
      <c r="J106" s="42"/>
      <c r="K106" s="42"/>
      <c r="L106" s="42"/>
      <c r="M106" s="42"/>
    </row>
    <row r="107" spans="1:13" ht="13" x14ac:dyDescent="0.25">
      <c r="A107" s="43"/>
      <c r="B107" s="42"/>
      <c r="C107" s="42"/>
      <c r="D107" s="53"/>
      <c r="E107" s="42"/>
      <c r="F107" s="42"/>
      <c r="G107" s="42"/>
      <c r="H107" s="42"/>
      <c r="I107" s="42"/>
      <c r="J107" s="42"/>
      <c r="K107" s="42"/>
      <c r="L107" s="42"/>
      <c r="M107" s="42"/>
    </row>
    <row r="108" spans="1:13" ht="13" x14ac:dyDescent="0.25">
      <c r="A108" s="43"/>
      <c r="B108" s="42"/>
      <c r="C108" s="42"/>
      <c r="D108" s="53"/>
      <c r="E108" s="42"/>
      <c r="F108" s="42"/>
      <c r="G108" s="42"/>
      <c r="H108" s="42"/>
      <c r="I108" s="42"/>
      <c r="J108" s="42"/>
      <c r="K108" s="42"/>
      <c r="L108" s="42"/>
      <c r="M108" s="42"/>
    </row>
    <row r="109" spans="1:13" ht="13" x14ac:dyDescent="0.25">
      <c r="A109" s="43"/>
      <c r="B109" s="42"/>
      <c r="C109" s="42"/>
      <c r="D109" s="53"/>
      <c r="E109" s="42"/>
      <c r="F109" s="42"/>
      <c r="G109" s="42"/>
      <c r="H109" s="42"/>
      <c r="I109" s="42"/>
      <c r="J109" s="42"/>
      <c r="K109" s="42"/>
      <c r="L109" s="42"/>
      <c r="M109" s="42"/>
    </row>
    <row r="110" spans="1:13" ht="13" x14ac:dyDescent="0.25">
      <c r="A110" s="43"/>
      <c r="B110" s="42"/>
      <c r="C110" s="42"/>
      <c r="D110" s="53"/>
      <c r="E110" s="42"/>
      <c r="F110" s="42"/>
      <c r="G110" s="42"/>
      <c r="H110" s="42"/>
      <c r="I110" s="42"/>
      <c r="J110" s="42"/>
      <c r="K110" s="42"/>
      <c r="L110" s="42"/>
      <c r="M110" s="42"/>
    </row>
    <row r="111" spans="1:13" ht="13" x14ac:dyDescent="0.25">
      <c r="A111" s="43"/>
      <c r="B111" s="42"/>
      <c r="C111" s="42"/>
      <c r="D111" s="53"/>
      <c r="E111" s="42"/>
      <c r="F111" s="42"/>
      <c r="G111" s="42"/>
      <c r="H111" s="42"/>
      <c r="I111" s="42"/>
      <c r="J111" s="42"/>
      <c r="K111" s="42"/>
      <c r="L111" s="42"/>
      <c r="M111" s="42"/>
    </row>
    <row r="112" spans="1:13" ht="13" x14ac:dyDescent="0.25">
      <c r="A112" s="43"/>
      <c r="B112" s="42"/>
      <c r="C112" s="42"/>
      <c r="D112" s="53"/>
      <c r="E112" s="42"/>
      <c r="F112" s="42"/>
      <c r="G112" s="42"/>
      <c r="H112" s="42"/>
      <c r="I112" s="42"/>
      <c r="J112" s="42"/>
      <c r="K112" s="42"/>
      <c r="L112" s="42"/>
      <c r="M112" s="42"/>
    </row>
    <row r="113" spans="1:13" ht="13" x14ac:dyDescent="0.25">
      <c r="A113" s="43"/>
      <c r="B113" s="42"/>
      <c r="C113" s="42"/>
      <c r="D113" s="53"/>
      <c r="E113" s="42"/>
      <c r="F113" s="42"/>
      <c r="G113" s="42"/>
      <c r="H113" s="42"/>
      <c r="I113" s="42"/>
      <c r="J113" s="42"/>
      <c r="K113" s="42"/>
      <c r="L113" s="42"/>
      <c r="M113" s="42"/>
    </row>
    <row r="114" spans="1:13" ht="13" x14ac:dyDescent="0.25">
      <c r="A114" s="43"/>
      <c r="B114" s="42"/>
      <c r="C114" s="42"/>
      <c r="D114" s="53"/>
      <c r="E114" s="42"/>
      <c r="F114" s="42"/>
      <c r="G114" s="42"/>
      <c r="H114" s="42"/>
      <c r="I114" s="42"/>
      <c r="J114" s="42"/>
      <c r="K114" s="42"/>
      <c r="L114" s="42"/>
      <c r="M114" s="42"/>
    </row>
    <row r="115" spans="1:13" ht="13" x14ac:dyDescent="0.25">
      <c r="A115" s="43"/>
      <c r="B115" s="42"/>
      <c r="C115" s="42"/>
      <c r="D115" s="53"/>
      <c r="E115" s="42"/>
      <c r="F115" s="42"/>
      <c r="G115" s="42"/>
      <c r="H115" s="42"/>
      <c r="I115" s="42"/>
      <c r="J115" s="42"/>
      <c r="K115" s="42"/>
      <c r="L115" s="42"/>
      <c r="M115" s="42"/>
    </row>
    <row r="116" spans="1:13" ht="13" x14ac:dyDescent="0.25">
      <c r="A116" s="43"/>
      <c r="B116" s="42"/>
      <c r="C116" s="42"/>
      <c r="D116" s="53"/>
      <c r="E116" s="42"/>
      <c r="F116" s="42"/>
      <c r="G116" s="42"/>
      <c r="H116" s="42"/>
      <c r="I116" s="42"/>
      <c r="J116" s="42"/>
      <c r="K116" s="42"/>
      <c r="L116" s="42"/>
      <c r="M116" s="42"/>
    </row>
    <row r="117" spans="1:13" ht="13" x14ac:dyDescent="0.25">
      <c r="A117" s="43"/>
      <c r="B117" s="42"/>
      <c r="C117" s="42"/>
      <c r="D117" s="53"/>
      <c r="E117" s="42"/>
      <c r="F117" s="42"/>
      <c r="G117" s="42"/>
      <c r="H117" s="42"/>
      <c r="I117" s="42"/>
      <c r="J117" s="42"/>
      <c r="K117" s="42"/>
      <c r="L117" s="42"/>
      <c r="M117" s="42"/>
    </row>
    <row r="118" spans="1:13" ht="13" x14ac:dyDescent="0.25">
      <c r="A118" s="43"/>
      <c r="B118" s="42"/>
      <c r="C118" s="42"/>
      <c r="D118" s="53"/>
      <c r="E118" s="42"/>
      <c r="F118" s="42"/>
      <c r="G118" s="42"/>
      <c r="H118" s="42"/>
      <c r="I118" s="42"/>
      <c r="J118" s="42"/>
      <c r="K118" s="42"/>
      <c r="L118" s="42"/>
      <c r="M118" s="42"/>
    </row>
    <row r="119" spans="1:13" ht="13" x14ac:dyDescent="0.25">
      <c r="A119" s="43"/>
      <c r="B119" s="42"/>
      <c r="C119" s="42"/>
      <c r="D119" s="53"/>
      <c r="E119" s="42"/>
      <c r="F119" s="42"/>
      <c r="G119" s="42"/>
      <c r="H119" s="42"/>
      <c r="I119" s="42"/>
      <c r="J119" s="42"/>
      <c r="K119" s="42"/>
      <c r="L119" s="42"/>
      <c r="M119" s="42"/>
    </row>
    <row r="120" spans="1:13" ht="13" x14ac:dyDescent="0.25">
      <c r="A120" s="43"/>
      <c r="B120" s="42"/>
      <c r="C120" s="42"/>
      <c r="D120" s="53"/>
      <c r="E120" s="42"/>
      <c r="F120" s="42"/>
      <c r="G120" s="42"/>
      <c r="H120" s="42"/>
      <c r="I120" s="42"/>
      <c r="J120" s="42"/>
      <c r="K120" s="42"/>
      <c r="L120" s="42"/>
      <c r="M120" s="42"/>
    </row>
    <row r="121" spans="1:13" ht="13" x14ac:dyDescent="0.25">
      <c r="A121" s="43"/>
      <c r="B121" s="42"/>
      <c r="C121" s="42"/>
      <c r="D121" s="53"/>
      <c r="E121" s="42"/>
      <c r="F121" s="42"/>
      <c r="G121" s="42"/>
      <c r="H121" s="42"/>
      <c r="I121" s="42"/>
      <c r="J121" s="42"/>
      <c r="K121" s="42"/>
      <c r="L121" s="42"/>
      <c r="M121" s="42"/>
    </row>
    <row r="122" spans="1:13" ht="13" x14ac:dyDescent="0.25">
      <c r="A122" s="43"/>
      <c r="B122" s="42"/>
      <c r="C122" s="42"/>
      <c r="D122" s="53"/>
      <c r="E122" s="42"/>
      <c r="F122" s="42"/>
      <c r="G122" s="42"/>
      <c r="H122" s="42"/>
      <c r="I122" s="42"/>
      <c r="J122" s="42"/>
      <c r="K122" s="42"/>
      <c r="L122" s="42"/>
      <c r="M122" s="42"/>
    </row>
    <row r="123" spans="1:13" ht="13" x14ac:dyDescent="0.25">
      <c r="A123" s="43"/>
      <c r="B123" s="42"/>
      <c r="C123" s="42"/>
      <c r="D123" s="53"/>
      <c r="E123" s="42"/>
      <c r="F123" s="42"/>
      <c r="G123" s="42"/>
      <c r="H123" s="42"/>
      <c r="I123" s="42"/>
      <c r="J123" s="42"/>
      <c r="K123" s="42"/>
      <c r="L123" s="42"/>
      <c r="M123" s="42"/>
    </row>
    <row r="124" spans="1:13" ht="13" x14ac:dyDescent="0.25">
      <c r="A124" s="43"/>
      <c r="B124" s="42"/>
      <c r="C124" s="42"/>
      <c r="D124" s="53"/>
      <c r="E124" s="42"/>
      <c r="F124" s="42"/>
      <c r="G124" s="42"/>
      <c r="H124" s="42"/>
      <c r="I124" s="42"/>
      <c r="J124" s="42"/>
      <c r="K124" s="42"/>
      <c r="L124" s="42"/>
      <c r="M124" s="42"/>
    </row>
    <row r="125" spans="1:13" ht="13" x14ac:dyDescent="0.25">
      <c r="A125" s="43"/>
      <c r="B125" s="42"/>
      <c r="C125" s="42"/>
      <c r="D125" s="53"/>
      <c r="E125" s="42"/>
      <c r="F125" s="42"/>
      <c r="G125" s="42"/>
      <c r="H125" s="42"/>
      <c r="I125" s="42"/>
      <c r="J125" s="42"/>
      <c r="K125" s="42"/>
      <c r="L125" s="42"/>
      <c r="M125" s="42"/>
    </row>
    <row r="126" spans="1:13" ht="13" x14ac:dyDescent="0.25">
      <c r="A126" s="43"/>
      <c r="B126" s="42"/>
      <c r="C126" s="42"/>
      <c r="D126" s="53"/>
      <c r="E126" s="42"/>
      <c r="F126" s="42"/>
      <c r="G126" s="42"/>
      <c r="H126" s="42"/>
      <c r="I126" s="42"/>
      <c r="J126" s="42"/>
      <c r="K126" s="42"/>
      <c r="L126" s="42"/>
      <c r="M126" s="42"/>
    </row>
    <row r="127" spans="1:13" ht="13" x14ac:dyDescent="0.25">
      <c r="A127" s="43"/>
      <c r="B127" s="42"/>
      <c r="C127" s="42"/>
      <c r="D127" s="53"/>
      <c r="E127" s="42"/>
      <c r="F127" s="42"/>
      <c r="G127" s="42"/>
      <c r="H127" s="42"/>
      <c r="I127" s="42"/>
      <c r="J127" s="42"/>
      <c r="K127" s="42"/>
      <c r="L127" s="42"/>
      <c r="M127" s="42"/>
    </row>
    <row r="128" spans="1:13" ht="13" x14ac:dyDescent="0.25">
      <c r="A128" s="43"/>
      <c r="B128" s="42"/>
      <c r="C128" s="42"/>
      <c r="D128" s="53"/>
      <c r="E128" s="42"/>
      <c r="F128" s="42"/>
      <c r="G128" s="42"/>
      <c r="H128" s="42"/>
      <c r="I128" s="42"/>
      <c r="J128" s="42"/>
      <c r="K128" s="42"/>
      <c r="L128" s="42"/>
      <c r="M128" s="42"/>
    </row>
    <row r="129" spans="1:13" ht="13" x14ac:dyDescent="0.25">
      <c r="A129" s="43"/>
      <c r="B129" s="42"/>
      <c r="C129" s="42"/>
      <c r="D129" s="53"/>
      <c r="E129" s="42"/>
      <c r="F129" s="42"/>
      <c r="G129" s="42"/>
      <c r="H129" s="42"/>
      <c r="I129" s="42"/>
      <c r="J129" s="42"/>
      <c r="K129" s="42"/>
      <c r="L129" s="42"/>
      <c r="M129" s="42"/>
    </row>
    <row r="130" spans="1:13" ht="13" x14ac:dyDescent="0.25">
      <c r="A130" s="43"/>
      <c r="B130" s="42"/>
      <c r="C130" s="42"/>
      <c r="D130" s="53"/>
      <c r="E130" s="42"/>
      <c r="F130" s="42"/>
      <c r="G130" s="42"/>
      <c r="H130" s="42"/>
      <c r="I130" s="42"/>
      <c r="J130" s="42"/>
      <c r="K130" s="42"/>
      <c r="L130" s="42"/>
      <c r="M130" s="42"/>
    </row>
    <row r="131" spans="1:13" ht="13" x14ac:dyDescent="0.25">
      <c r="A131" s="43"/>
      <c r="B131" s="42"/>
      <c r="C131" s="42"/>
      <c r="D131" s="53"/>
      <c r="E131" s="42"/>
      <c r="F131" s="42"/>
      <c r="G131" s="42"/>
      <c r="H131" s="42"/>
      <c r="I131" s="42"/>
      <c r="J131" s="42"/>
      <c r="K131" s="42"/>
      <c r="L131" s="42"/>
      <c r="M131" s="42"/>
    </row>
    <row r="132" spans="1:13" ht="13" x14ac:dyDescent="0.25">
      <c r="A132" s="43"/>
      <c r="B132" s="42"/>
      <c r="C132" s="42"/>
      <c r="D132" s="53"/>
      <c r="E132" s="42"/>
      <c r="F132" s="42"/>
      <c r="G132" s="42"/>
      <c r="H132" s="42"/>
      <c r="I132" s="42"/>
      <c r="J132" s="42"/>
      <c r="K132" s="42"/>
      <c r="L132" s="42"/>
      <c r="M132" s="42"/>
    </row>
    <row r="133" spans="1:13" ht="13" x14ac:dyDescent="0.25">
      <c r="A133" s="43"/>
      <c r="B133" s="42"/>
      <c r="C133" s="42"/>
      <c r="D133" s="53"/>
      <c r="E133" s="42"/>
      <c r="F133" s="42"/>
      <c r="G133" s="42"/>
      <c r="H133" s="42"/>
      <c r="I133" s="42"/>
      <c r="J133" s="42"/>
      <c r="K133" s="42"/>
      <c r="L133" s="42"/>
      <c r="M133" s="42"/>
    </row>
    <row r="134" spans="1:13" ht="13" x14ac:dyDescent="0.25">
      <c r="A134" s="43"/>
      <c r="B134" s="42"/>
      <c r="C134" s="42"/>
      <c r="D134" s="53"/>
      <c r="E134" s="42"/>
      <c r="F134" s="42"/>
      <c r="G134" s="42"/>
      <c r="H134" s="42"/>
      <c r="I134" s="42"/>
      <c r="J134" s="42"/>
      <c r="K134" s="42"/>
      <c r="L134" s="42"/>
      <c r="M134" s="42"/>
    </row>
    <row r="135" spans="1:13" ht="13" x14ac:dyDescent="0.25">
      <c r="A135" s="43"/>
      <c r="B135" s="42"/>
      <c r="C135" s="42"/>
      <c r="D135" s="53"/>
      <c r="E135" s="42"/>
      <c r="F135" s="42"/>
      <c r="G135" s="42"/>
      <c r="H135" s="42"/>
      <c r="I135" s="42"/>
      <c r="J135" s="42"/>
      <c r="K135" s="42"/>
      <c r="L135" s="42"/>
      <c r="M135" s="42"/>
    </row>
    <row r="136" spans="1:13" ht="13" x14ac:dyDescent="0.25">
      <c r="A136" s="43"/>
      <c r="B136" s="42"/>
      <c r="C136" s="42"/>
      <c r="D136" s="53"/>
      <c r="E136" s="42"/>
      <c r="F136" s="42"/>
      <c r="G136" s="42"/>
      <c r="H136" s="42"/>
      <c r="I136" s="42"/>
      <c r="J136" s="42"/>
      <c r="K136" s="42"/>
      <c r="L136" s="42"/>
      <c r="M136" s="42"/>
    </row>
    <row r="137" spans="1:13" ht="13" x14ac:dyDescent="0.25">
      <c r="A137" s="43"/>
      <c r="B137" s="42"/>
      <c r="C137" s="42"/>
      <c r="D137" s="53"/>
      <c r="E137" s="42"/>
      <c r="F137" s="42"/>
      <c r="G137" s="42"/>
      <c r="H137" s="42"/>
      <c r="I137" s="42"/>
      <c r="J137" s="42"/>
      <c r="K137" s="42"/>
      <c r="L137" s="42"/>
      <c r="M137" s="42"/>
    </row>
    <row r="138" spans="1:13" ht="13" x14ac:dyDescent="0.25">
      <c r="A138" s="43"/>
      <c r="B138" s="42"/>
      <c r="C138" s="42"/>
      <c r="D138" s="53"/>
      <c r="E138" s="42"/>
      <c r="F138" s="42"/>
      <c r="G138" s="42"/>
      <c r="H138" s="42"/>
      <c r="I138" s="42"/>
      <c r="J138" s="42"/>
      <c r="K138" s="42"/>
      <c r="L138" s="42"/>
      <c r="M138" s="42"/>
    </row>
    <row r="139" spans="1:13" ht="13" x14ac:dyDescent="0.25">
      <c r="A139" s="43"/>
      <c r="B139" s="42"/>
      <c r="C139" s="42"/>
      <c r="D139" s="53"/>
      <c r="E139" s="42"/>
      <c r="F139" s="42"/>
      <c r="G139" s="42"/>
      <c r="H139" s="42"/>
      <c r="I139" s="42"/>
      <c r="J139" s="42"/>
      <c r="K139" s="42"/>
      <c r="L139" s="42"/>
      <c r="M139" s="42"/>
    </row>
    <row r="140" spans="1:13" ht="13" x14ac:dyDescent="0.25">
      <c r="A140" s="43"/>
      <c r="B140" s="42"/>
      <c r="C140" s="42"/>
      <c r="D140" s="53"/>
      <c r="E140" s="42"/>
      <c r="F140" s="42"/>
      <c r="G140" s="42"/>
      <c r="H140" s="42"/>
      <c r="I140" s="42"/>
      <c r="J140" s="42"/>
      <c r="K140" s="42"/>
      <c r="L140" s="42"/>
      <c r="M140" s="42"/>
    </row>
    <row r="141" spans="1:13" ht="13" x14ac:dyDescent="0.25">
      <c r="A141" s="43"/>
      <c r="B141" s="42"/>
      <c r="C141" s="42"/>
      <c r="D141" s="53"/>
      <c r="E141" s="42"/>
      <c r="F141" s="42"/>
      <c r="G141" s="42"/>
      <c r="H141" s="42"/>
      <c r="I141" s="42"/>
      <c r="J141" s="42"/>
      <c r="K141" s="42"/>
      <c r="L141" s="42"/>
      <c r="M141" s="42"/>
    </row>
    <row r="142" spans="1:13" ht="13" x14ac:dyDescent="0.25">
      <c r="A142" s="43"/>
      <c r="B142" s="42"/>
      <c r="C142" s="42"/>
      <c r="D142" s="53"/>
      <c r="E142" s="42"/>
      <c r="F142" s="42"/>
      <c r="G142" s="42"/>
      <c r="H142" s="42"/>
      <c r="I142" s="42"/>
      <c r="J142" s="42"/>
      <c r="K142" s="42"/>
      <c r="L142" s="42"/>
      <c r="M142" s="42"/>
    </row>
    <row r="143" spans="1:13" ht="13" x14ac:dyDescent="0.25">
      <c r="A143" s="43"/>
      <c r="B143" s="42"/>
      <c r="C143" s="42"/>
      <c r="D143" s="53"/>
      <c r="E143" s="42"/>
      <c r="F143" s="42"/>
      <c r="G143" s="42"/>
      <c r="H143" s="42"/>
      <c r="I143" s="42"/>
      <c r="J143" s="42"/>
      <c r="K143" s="42"/>
      <c r="L143" s="42"/>
      <c r="M143" s="42"/>
    </row>
    <row r="144" spans="1:13" ht="13" x14ac:dyDescent="0.25">
      <c r="A144" s="43"/>
      <c r="B144" s="42"/>
      <c r="C144" s="42"/>
      <c r="D144" s="53"/>
      <c r="E144" s="42"/>
      <c r="F144" s="42"/>
      <c r="G144" s="42"/>
      <c r="H144" s="42"/>
      <c r="I144" s="42"/>
      <c r="J144" s="42"/>
      <c r="K144" s="42"/>
      <c r="L144" s="42"/>
      <c r="M144" s="42"/>
    </row>
    <row r="145" spans="1:13" ht="13" x14ac:dyDescent="0.25">
      <c r="A145" s="43"/>
      <c r="B145" s="42"/>
      <c r="C145" s="42"/>
      <c r="D145" s="53"/>
      <c r="E145" s="42"/>
      <c r="F145" s="42"/>
      <c r="G145" s="42"/>
      <c r="H145" s="42"/>
      <c r="I145" s="42"/>
      <c r="J145" s="42"/>
      <c r="K145" s="42"/>
      <c r="L145" s="42"/>
      <c r="M145" s="42"/>
    </row>
    <row r="146" spans="1:13" ht="13" x14ac:dyDescent="0.25">
      <c r="A146" s="43"/>
      <c r="B146" s="42"/>
      <c r="C146" s="42"/>
      <c r="D146" s="53"/>
      <c r="E146" s="42"/>
      <c r="F146" s="42"/>
      <c r="G146" s="42"/>
      <c r="H146" s="42"/>
      <c r="I146" s="42"/>
      <c r="J146" s="42"/>
      <c r="K146" s="42"/>
      <c r="L146" s="42"/>
      <c r="M146" s="42"/>
    </row>
    <row r="147" spans="1:13" ht="13" x14ac:dyDescent="0.25">
      <c r="A147" s="43"/>
      <c r="B147" s="42"/>
      <c r="C147" s="42"/>
      <c r="D147" s="53"/>
      <c r="E147" s="42"/>
      <c r="F147" s="42"/>
      <c r="G147" s="42"/>
      <c r="H147" s="42"/>
      <c r="I147" s="42"/>
      <c r="J147" s="42"/>
      <c r="K147" s="42"/>
      <c r="L147" s="42"/>
      <c r="M147" s="42"/>
    </row>
    <row r="148" spans="1:13" ht="13" x14ac:dyDescent="0.25">
      <c r="A148" s="43"/>
      <c r="B148" s="42"/>
      <c r="C148" s="42"/>
      <c r="D148" s="53"/>
      <c r="E148" s="42"/>
      <c r="F148" s="42"/>
      <c r="G148" s="42"/>
      <c r="H148" s="42"/>
      <c r="I148" s="42"/>
      <c r="J148" s="42"/>
      <c r="K148" s="42"/>
      <c r="L148" s="42"/>
      <c r="M148" s="42"/>
    </row>
    <row r="149" spans="1:13" ht="13" x14ac:dyDescent="0.25">
      <c r="A149" s="43"/>
      <c r="B149" s="42"/>
      <c r="C149" s="42"/>
      <c r="D149" s="53"/>
      <c r="E149" s="42"/>
      <c r="F149" s="42"/>
      <c r="G149" s="42"/>
      <c r="H149" s="42"/>
      <c r="I149" s="42"/>
      <c r="J149" s="42"/>
      <c r="K149" s="42"/>
      <c r="L149" s="42"/>
      <c r="M149" s="42"/>
    </row>
    <row r="150" spans="1:13" ht="13" x14ac:dyDescent="0.25">
      <c r="A150" s="43"/>
      <c r="B150" s="42"/>
      <c r="C150" s="42"/>
      <c r="D150" s="53"/>
      <c r="E150" s="42"/>
      <c r="F150" s="42"/>
      <c r="G150" s="42"/>
      <c r="H150" s="42"/>
      <c r="I150" s="42"/>
      <c r="J150" s="42"/>
      <c r="K150" s="42"/>
      <c r="L150" s="42"/>
      <c r="M150" s="42"/>
    </row>
    <row r="151" spans="1:13" ht="13" x14ac:dyDescent="0.25">
      <c r="A151" s="43"/>
      <c r="B151" s="42"/>
      <c r="C151" s="42"/>
      <c r="D151" s="53"/>
      <c r="E151" s="42"/>
      <c r="F151" s="42"/>
      <c r="G151" s="42"/>
      <c r="H151" s="42"/>
      <c r="I151" s="42"/>
      <c r="J151" s="42"/>
      <c r="K151" s="42"/>
      <c r="L151" s="42"/>
      <c r="M151" s="42"/>
    </row>
    <row r="152" spans="1:13" ht="13" x14ac:dyDescent="0.25">
      <c r="A152" s="43"/>
      <c r="B152" s="42"/>
      <c r="C152" s="42"/>
      <c r="D152" s="53"/>
      <c r="E152" s="42"/>
      <c r="F152" s="42"/>
      <c r="G152" s="42"/>
      <c r="H152" s="42"/>
      <c r="I152" s="42"/>
      <c r="J152" s="42"/>
      <c r="K152" s="42"/>
      <c r="L152" s="42"/>
      <c r="M152" s="42"/>
    </row>
    <row r="153" spans="1:13" ht="13" x14ac:dyDescent="0.25">
      <c r="A153" s="43"/>
      <c r="B153" s="42"/>
      <c r="C153" s="42"/>
      <c r="D153" s="53"/>
      <c r="E153" s="42"/>
      <c r="F153" s="42"/>
      <c r="G153" s="42"/>
      <c r="H153" s="42"/>
      <c r="I153" s="42"/>
      <c r="J153" s="42"/>
      <c r="K153" s="42"/>
      <c r="L153" s="42"/>
      <c r="M153" s="42"/>
    </row>
    <row r="154" spans="1:13" ht="13" x14ac:dyDescent="0.25">
      <c r="A154" s="43"/>
      <c r="B154" s="42"/>
      <c r="C154" s="42"/>
      <c r="D154" s="53"/>
      <c r="E154" s="42"/>
      <c r="F154" s="42"/>
      <c r="G154" s="42"/>
      <c r="H154" s="42"/>
      <c r="I154" s="42"/>
      <c r="J154" s="42"/>
      <c r="K154" s="42"/>
      <c r="L154" s="42"/>
      <c r="M154" s="42"/>
    </row>
    <row r="155" spans="1:13" ht="13" x14ac:dyDescent="0.25">
      <c r="A155" s="43"/>
      <c r="B155" s="42"/>
      <c r="C155" s="42"/>
      <c r="D155" s="53"/>
      <c r="E155" s="42"/>
      <c r="F155" s="42"/>
      <c r="G155" s="42"/>
      <c r="H155" s="42"/>
      <c r="I155" s="42"/>
      <c r="J155" s="42"/>
      <c r="K155" s="42"/>
      <c r="L155" s="42"/>
      <c r="M155" s="42"/>
    </row>
    <row r="156" spans="1:13" ht="13" x14ac:dyDescent="0.25">
      <c r="A156" s="43"/>
      <c r="B156" s="42"/>
      <c r="C156" s="42"/>
      <c r="D156" s="53"/>
      <c r="E156" s="42"/>
      <c r="F156" s="42"/>
      <c r="G156" s="42"/>
      <c r="H156" s="42"/>
      <c r="I156" s="42"/>
      <c r="J156" s="42"/>
      <c r="K156" s="42"/>
      <c r="L156" s="42"/>
      <c r="M156" s="42"/>
    </row>
    <row r="157" spans="1:13" ht="13" x14ac:dyDescent="0.25">
      <c r="A157" s="43"/>
      <c r="B157" s="42"/>
      <c r="C157" s="42"/>
      <c r="D157" s="53"/>
      <c r="E157" s="42"/>
      <c r="F157" s="42"/>
      <c r="G157" s="42"/>
      <c r="H157" s="42"/>
      <c r="I157" s="42"/>
      <c r="J157" s="42"/>
      <c r="K157" s="42"/>
      <c r="L157" s="42"/>
      <c r="M157" s="42"/>
    </row>
    <row r="158" spans="1:13" ht="13" x14ac:dyDescent="0.25">
      <c r="A158" s="43"/>
      <c r="B158" s="42"/>
      <c r="C158" s="42"/>
      <c r="D158" s="53"/>
      <c r="E158" s="42"/>
      <c r="F158" s="42"/>
      <c r="G158" s="42"/>
      <c r="H158" s="42"/>
      <c r="I158" s="42"/>
      <c r="J158" s="42"/>
      <c r="K158" s="42"/>
      <c r="L158" s="42"/>
      <c r="M158" s="42"/>
    </row>
    <row r="159" spans="1:13" ht="13" x14ac:dyDescent="0.25">
      <c r="A159" s="43"/>
      <c r="B159" s="42"/>
      <c r="C159" s="42"/>
      <c r="D159" s="53"/>
      <c r="E159" s="42"/>
      <c r="F159" s="42"/>
      <c r="G159" s="42"/>
      <c r="H159" s="42"/>
      <c r="I159" s="42"/>
      <c r="J159" s="42"/>
      <c r="K159" s="42"/>
      <c r="L159" s="42"/>
      <c r="M159" s="42"/>
    </row>
    <row r="160" spans="1:13" ht="13" x14ac:dyDescent="0.25">
      <c r="A160" s="43"/>
      <c r="B160" s="42"/>
      <c r="C160" s="42"/>
      <c r="D160" s="53"/>
      <c r="E160" s="42"/>
      <c r="F160" s="42"/>
      <c r="G160" s="42"/>
      <c r="H160" s="42"/>
      <c r="I160" s="42"/>
      <c r="J160" s="42"/>
      <c r="K160" s="42"/>
      <c r="L160" s="42"/>
      <c r="M160" s="42"/>
    </row>
    <row r="161" spans="1:13" ht="13" x14ac:dyDescent="0.25">
      <c r="A161" s="43"/>
      <c r="B161" s="42"/>
      <c r="C161" s="42"/>
      <c r="D161" s="53"/>
      <c r="E161" s="42"/>
      <c r="F161" s="42"/>
      <c r="G161" s="42"/>
      <c r="H161" s="42"/>
      <c r="I161" s="42"/>
      <c r="J161" s="42"/>
      <c r="K161" s="42"/>
      <c r="L161" s="42"/>
      <c r="M161" s="42"/>
    </row>
    <row r="162" spans="1:13" ht="13" x14ac:dyDescent="0.25">
      <c r="A162" s="43"/>
      <c r="B162" s="42"/>
      <c r="C162" s="42"/>
      <c r="D162" s="53"/>
      <c r="E162" s="42"/>
      <c r="F162" s="42"/>
      <c r="G162" s="42"/>
      <c r="H162" s="42"/>
      <c r="I162" s="42"/>
      <c r="J162" s="42"/>
      <c r="K162" s="42"/>
      <c r="L162" s="42"/>
      <c r="M162" s="42"/>
    </row>
    <row r="163" spans="1:13" ht="13" x14ac:dyDescent="0.25">
      <c r="A163" s="43"/>
      <c r="B163" s="42"/>
      <c r="C163" s="42"/>
      <c r="D163" s="53"/>
      <c r="E163" s="42"/>
      <c r="F163" s="42"/>
      <c r="G163" s="42"/>
      <c r="H163" s="42"/>
      <c r="I163" s="42"/>
      <c r="J163" s="42"/>
      <c r="K163" s="42"/>
      <c r="L163" s="42"/>
      <c r="M163" s="42"/>
    </row>
    <row r="164" spans="1:13" ht="13" x14ac:dyDescent="0.25">
      <c r="A164" s="43"/>
      <c r="B164" s="42"/>
      <c r="C164" s="42"/>
      <c r="D164" s="53"/>
      <c r="E164" s="42"/>
      <c r="F164" s="42"/>
      <c r="G164" s="42"/>
      <c r="H164" s="42"/>
      <c r="I164" s="42"/>
      <c r="J164" s="42"/>
      <c r="K164" s="42"/>
      <c r="L164" s="42"/>
      <c r="M164" s="42"/>
    </row>
    <row r="165" spans="1:13" ht="13" x14ac:dyDescent="0.25">
      <c r="A165" s="43"/>
      <c r="B165" s="42"/>
      <c r="C165" s="42"/>
      <c r="D165" s="53"/>
      <c r="E165" s="42"/>
      <c r="F165" s="42"/>
      <c r="G165" s="42"/>
      <c r="H165" s="42"/>
      <c r="I165" s="42"/>
      <c r="J165" s="42"/>
      <c r="K165" s="42"/>
      <c r="L165" s="42"/>
      <c r="M165" s="42"/>
    </row>
    <row r="166" spans="1:13" ht="13" x14ac:dyDescent="0.25">
      <c r="A166" s="43"/>
      <c r="B166" s="42"/>
      <c r="C166" s="42"/>
      <c r="D166" s="53"/>
      <c r="E166" s="42"/>
      <c r="F166" s="42"/>
      <c r="G166" s="42"/>
      <c r="H166" s="42"/>
      <c r="I166" s="42"/>
      <c r="J166" s="42"/>
      <c r="K166" s="42"/>
      <c r="L166" s="42"/>
      <c r="M166" s="42"/>
    </row>
    <row r="167" spans="1:13" ht="13" x14ac:dyDescent="0.25">
      <c r="A167" s="43"/>
      <c r="B167" s="42"/>
      <c r="C167" s="42"/>
      <c r="D167" s="53"/>
      <c r="E167" s="42"/>
      <c r="F167" s="42"/>
      <c r="G167" s="42"/>
      <c r="H167" s="42"/>
      <c r="I167" s="42"/>
      <c r="J167" s="42"/>
      <c r="K167" s="42"/>
      <c r="L167" s="42"/>
      <c r="M167" s="42"/>
    </row>
    <row r="168" spans="1:13" ht="13" x14ac:dyDescent="0.25">
      <c r="A168" s="43"/>
      <c r="B168" s="42"/>
      <c r="C168" s="42"/>
      <c r="D168" s="53"/>
      <c r="E168" s="42"/>
      <c r="F168" s="42"/>
      <c r="G168" s="42"/>
      <c r="H168" s="42"/>
      <c r="I168" s="42"/>
      <c r="J168" s="42"/>
      <c r="K168" s="42"/>
      <c r="L168" s="42"/>
      <c r="M168" s="42"/>
    </row>
    <row r="169" spans="1:13" ht="13" x14ac:dyDescent="0.25">
      <c r="A169" s="43"/>
      <c r="B169" s="42"/>
      <c r="C169" s="42"/>
      <c r="D169" s="53"/>
      <c r="E169" s="42"/>
      <c r="F169" s="42"/>
      <c r="G169" s="42"/>
      <c r="H169" s="42"/>
      <c r="I169" s="42"/>
      <c r="J169" s="42"/>
      <c r="K169" s="42"/>
      <c r="L169" s="42"/>
      <c r="M169" s="42"/>
    </row>
    <row r="170" spans="1:13" ht="13" x14ac:dyDescent="0.25">
      <c r="A170" s="43"/>
      <c r="B170" s="42"/>
      <c r="C170" s="42"/>
      <c r="D170" s="53"/>
      <c r="E170" s="42"/>
      <c r="F170" s="42"/>
      <c r="G170" s="42"/>
      <c r="H170" s="42"/>
      <c r="I170" s="42"/>
      <c r="J170" s="42"/>
      <c r="K170" s="42"/>
      <c r="L170" s="42"/>
      <c r="M170" s="42"/>
    </row>
    <row r="171" spans="1:13" ht="13" x14ac:dyDescent="0.25">
      <c r="A171" s="43"/>
      <c r="B171" s="42"/>
      <c r="C171" s="42"/>
      <c r="D171" s="53"/>
      <c r="E171" s="42"/>
      <c r="F171" s="42"/>
      <c r="G171" s="42"/>
      <c r="H171" s="42"/>
      <c r="I171" s="42"/>
      <c r="J171" s="42"/>
      <c r="K171" s="42"/>
      <c r="L171" s="42"/>
      <c r="M171" s="42"/>
    </row>
    <row r="172" spans="1:13" ht="13" x14ac:dyDescent="0.25">
      <c r="A172" s="43"/>
      <c r="B172" s="42"/>
      <c r="C172" s="42"/>
      <c r="D172" s="53"/>
      <c r="E172" s="42"/>
      <c r="F172" s="42"/>
      <c r="G172" s="42"/>
      <c r="H172" s="42"/>
      <c r="I172" s="42"/>
      <c r="J172" s="42"/>
      <c r="K172" s="42"/>
      <c r="L172" s="42"/>
      <c r="M172" s="42"/>
    </row>
    <row r="173" spans="1:13" ht="13" x14ac:dyDescent="0.25">
      <c r="A173" s="43"/>
      <c r="B173" s="42"/>
      <c r="C173" s="42"/>
      <c r="D173" s="53"/>
      <c r="E173" s="42"/>
      <c r="F173" s="42"/>
      <c r="G173" s="42"/>
      <c r="H173" s="42"/>
      <c r="I173" s="42"/>
      <c r="J173" s="42"/>
      <c r="K173" s="42"/>
      <c r="L173" s="42"/>
      <c r="M173" s="42"/>
    </row>
    <row r="174" spans="1:13" ht="13" x14ac:dyDescent="0.25">
      <c r="A174" s="43"/>
      <c r="B174" s="42"/>
      <c r="C174" s="42"/>
      <c r="D174" s="53"/>
      <c r="E174" s="42"/>
      <c r="F174" s="42"/>
      <c r="G174" s="42"/>
      <c r="H174" s="42"/>
      <c r="I174" s="42"/>
      <c r="J174" s="42"/>
      <c r="K174" s="42"/>
      <c r="L174" s="42"/>
      <c r="M174" s="42"/>
    </row>
    <row r="175" spans="1:13" ht="13" x14ac:dyDescent="0.25">
      <c r="A175" s="43"/>
      <c r="B175" s="42"/>
      <c r="C175" s="42"/>
      <c r="D175" s="53"/>
      <c r="E175" s="42"/>
      <c r="F175" s="42"/>
      <c r="G175" s="42"/>
      <c r="H175" s="42"/>
      <c r="I175" s="42"/>
      <c r="J175" s="42"/>
      <c r="K175" s="42"/>
      <c r="L175" s="42"/>
      <c r="M175" s="42"/>
    </row>
    <row r="176" spans="1:13" ht="13" x14ac:dyDescent="0.25">
      <c r="A176" s="43"/>
      <c r="B176" s="42"/>
      <c r="C176" s="42"/>
      <c r="D176" s="53"/>
      <c r="E176" s="42"/>
      <c r="F176" s="42"/>
      <c r="G176" s="42"/>
      <c r="H176" s="42"/>
      <c r="I176" s="42"/>
      <c r="J176" s="42"/>
      <c r="K176" s="42"/>
      <c r="L176" s="42"/>
      <c r="M176" s="42"/>
    </row>
    <row r="177" spans="1:13" ht="13" x14ac:dyDescent="0.25">
      <c r="A177" s="43"/>
      <c r="B177" s="42"/>
      <c r="C177" s="42"/>
      <c r="D177" s="53"/>
      <c r="E177" s="42"/>
      <c r="F177" s="42"/>
      <c r="G177" s="42"/>
      <c r="H177" s="42"/>
      <c r="I177" s="42"/>
      <c r="J177" s="42"/>
      <c r="K177" s="42"/>
      <c r="L177" s="42"/>
      <c r="M177" s="42"/>
    </row>
    <row r="178" spans="1:13" ht="13" x14ac:dyDescent="0.25">
      <c r="A178" s="43"/>
      <c r="B178" s="42"/>
      <c r="C178" s="42"/>
      <c r="D178" s="53"/>
      <c r="E178" s="42"/>
      <c r="F178" s="42"/>
      <c r="G178" s="42"/>
      <c r="H178" s="42"/>
      <c r="I178" s="42"/>
      <c r="J178" s="42"/>
      <c r="K178" s="42"/>
      <c r="L178" s="42"/>
      <c r="M178" s="42"/>
    </row>
    <row r="179" spans="1:13" ht="13" x14ac:dyDescent="0.25">
      <c r="A179" s="43"/>
      <c r="B179" s="42"/>
      <c r="C179" s="42"/>
      <c r="D179" s="53"/>
      <c r="E179" s="42"/>
      <c r="F179" s="42"/>
      <c r="G179" s="42"/>
      <c r="H179" s="42"/>
      <c r="I179" s="42"/>
      <c r="J179" s="42"/>
      <c r="K179" s="42"/>
      <c r="L179" s="42"/>
      <c r="M179" s="42"/>
    </row>
    <row r="180" spans="1:13" ht="13" x14ac:dyDescent="0.25">
      <c r="A180" s="43"/>
      <c r="B180" s="42"/>
      <c r="C180" s="42"/>
      <c r="D180" s="53"/>
      <c r="E180" s="42"/>
      <c r="F180" s="42"/>
      <c r="G180" s="42"/>
      <c r="H180" s="42"/>
      <c r="I180" s="42"/>
      <c r="J180" s="42"/>
      <c r="K180" s="42"/>
      <c r="L180" s="42"/>
      <c r="M180" s="42"/>
    </row>
    <row r="181" spans="1:13" ht="13" x14ac:dyDescent="0.25">
      <c r="A181" s="43"/>
      <c r="B181" s="42"/>
      <c r="C181" s="42"/>
      <c r="D181" s="53"/>
      <c r="E181" s="42"/>
      <c r="F181" s="42"/>
      <c r="G181" s="42"/>
      <c r="H181" s="42"/>
      <c r="I181" s="42"/>
      <c r="J181" s="42"/>
      <c r="K181" s="42"/>
      <c r="L181" s="42"/>
      <c r="M181" s="42"/>
    </row>
    <row r="182" spans="1:13" ht="13" x14ac:dyDescent="0.25">
      <c r="A182" s="43"/>
      <c r="B182" s="42"/>
      <c r="C182" s="42"/>
      <c r="D182" s="53"/>
      <c r="E182" s="42"/>
      <c r="F182" s="42"/>
      <c r="G182" s="42"/>
      <c r="H182" s="42"/>
      <c r="I182" s="42"/>
      <c r="J182" s="42"/>
      <c r="K182" s="42"/>
      <c r="L182" s="42"/>
      <c r="M182" s="42"/>
    </row>
    <row r="183" spans="1:13" ht="13" x14ac:dyDescent="0.25">
      <c r="A183" s="43"/>
      <c r="B183" s="42"/>
      <c r="C183" s="42"/>
      <c r="D183" s="53"/>
      <c r="E183" s="42"/>
      <c r="F183" s="42"/>
      <c r="G183" s="42"/>
      <c r="H183" s="42"/>
      <c r="I183" s="42"/>
      <c r="J183" s="42"/>
      <c r="K183" s="42"/>
      <c r="L183" s="42"/>
      <c r="M183" s="42"/>
    </row>
    <row r="184" spans="1:13" ht="13" x14ac:dyDescent="0.25">
      <c r="A184" s="43"/>
      <c r="B184" s="42"/>
      <c r="C184" s="42"/>
      <c r="D184" s="53"/>
      <c r="E184" s="42"/>
      <c r="F184" s="42"/>
      <c r="G184" s="42"/>
      <c r="H184" s="42"/>
      <c r="I184" s="42"/>
      <c r="J184" s="42"/>
      <c r="K184" s="42"/>
      <c r="L184" s="42"/>
      <c r="M184" s="42"/>
    </row>
    <row r="185" spans="1:13" ht="13" x14ac:dyDescent="0.25">
      <c r="A185" s="43"/>
      <c r="B185" s="42"/>
      <c r="C185" s="42"/>
      <c r="D185" s="53"/>
      <c r="E185" s="42"/>
      <c r="F185" s="42"/>
      <c r="G185" s="42"/>
      <c r="H185" s="42"/>
      <c r="I185" s="42"/>
      <c r="J185" s="42"/>
      <c r="K185" s="42"/>
      <c r="L185" s="42"/>
      <c r="M185" s="42"/>
    </row>
    <row r="186" spans="1:13" ht="13" x14ac:dyDescent="0.25">
      <c r="A186" s="43"/>
      <c r="B186" s="42"/>
      <c r="C186" s="42"/>
      <c r="D186" s="53"/>
      <c r="E186" s="42"/>
      <c r="F186" s="42"/>
      <c r="G186" s="42"/>
      <c r="H186" s="42"/>
      <c r="I186" s="42"/>
      <c r="J186" s="42"/>
      <c r="K186" s="42"/>
      <c r="L186" s="42"/>
      <c r="M186" s="42"/>
    </row>
    <row r="187" spans="1:13" ht="13" x14ac:dyDescent="0.25">
      <c r="A187" s="43"/>
      <c r="B187" s="42"/>
      <c r="C187" s="42"/>
      <c r="D187" s="53"/>
      <c r="E187" s="42"/>
      <c r="F187" s="42"/>
      <c r="G187" s="42"/>
      <c r="H187" s="42"/>
      <c r="I187" s="42"/>
      <c r="J187" s="42"/>
      <c r="K187" s="42"/>
      <c r="L187" s="42"/>
      <c r="M187" s="42"/>
    </row>
    <row r="188" spans="1:13" ht="13" x14ac:dyDescent="0.25">
      <c r="A188" s="43"/>
      <c r="B188" s="42"/>
      <c r="C188" s="42"/>
      <c r="D188" s="53"/>
      <c r="E188" s="42"/>
      <c r="F188" s="42"/>
      <c r="G188" s="42"/>
      <c r="H188" s="42"/>
      <c r="I188" s="42"/>
      <c r="J188" s="42"/>
      <c r="K188" s="42"/>
      <c r="L188" s="42"/>
      <c r="M188" s="42"/>
    </row>
    <row r="189" spans="1:13" ht="13" x14ac:dyDescent="0.25">
      <c r="A189" s="43"/>
      <c r="B189" s="42"/>
      <c r="C189" s="42"/>
      <c r="D189" s="53"/>
      <c r="E189" s="42"/>
      <c r="F189" s="42"/>
      <c r="G189" s="42"/>
      <c r="H189" s="42"/>
      <c r="I189" s="42"/>
      <c r="J189" s="42"/>
      <c r="K189" s="42"/>
      <c r="L189" s="42"/>
      <c r="M189" s="42"/>
    </row>
    <row r="190" spans="1:13" ht="13" x14ac:dyDescent="0.25">
      <c r="A190" s="43"/>
      <c r="B190" s="42"/>
      <c r="C190" s="42"/>
      <c r="D190" s="53"/>
      <c r="E190" s="42"/>
      <c r="F190" s="42"/>
      <c r="G190" s="42"/>
      <c r="H190" s="42"/>
      <c r="I190" s="42"/>
      <c r="J190" s="42"/>
      <c r="K190" s="42"/>
      <c r="L190" s="42"/>
      <c r="M190" s="42"/>
    </row>
    <row r="191" spans="1:13" ht="13" x14ac:dyDescent="0.25">
      <c r="A191" s="43"/>
      <c r="B191" s="42"/>
      <c r="C191" s="42"/>
      <c r="D191" s="53"/>
      <c r="E191" s="42"/>
      <c r="F191" s="42"/>
      <c r="G191" s="42"/>
      <c r="H191" s="42"/>
      <c r="I191" s="42"/>
      <c r="J191" s="42"/>
      <c r="K191" s="42"/>
      <c r="L191" s="42"/>
      <c r="M191" s="42"/>
    </row>
    <row r="192" spans="1:13" ht="13" x14ac:dyDescent="0.25">
      <c r="A192" s="43"/>
      <c r="B192" s="42"/>
      <c r="C192" s="42"/>
      <c r="D192" s="53"/>
      <c r="E192" s="42"/>
      <c r="F192" s="42"/>
      <c r="G192" s="42"/>
      <c r="H192" s="42"/>
      <c r="I192" s="42"/>
      <c r="J192" s="42"/>
      <c r="K192" s="42"/>
      <c r="L192" s="42"/>
      <c r="M192" s="42"/>
    </row>
    <row r="193" spans="1:13" ht="13" x14ac:dyDescent="0.25">
      <c r="A193" s="43"/>
      <c r="B193" s="42"/>
      <c r="C193" s="42"/>
      <c r="D193" s="53"/>
      <c r="E193" s="42"/>
      <c r="F193" s="42"/>
      <c r="G193" s="42"/>
      <c r="H193" s="42"/>
      <c r="I193" s="42"/>
      <c r="J193" s="42"/>
      <c r="K193" s="42"/>
      <c r="L193" s="42"/>
      <c r="M193" s="42"/>
    </row>
    <row r="194" spans="1:13" ht="13" x14ac:dyDescent="0.25">
      <c r="A194" s="43"/>
      <c r="B194" s="42"/>
      <c r="C194" s="42"/>
      <c r="D194" s="53"/>
      <c r="E194" s="42"/>
      <c r="F194" s="42"/>
      <c r="G194" s="42"/>
      <c r="H194" s="42"/>
      <c r="I194" s="42"/>
      <c r="J194" s="42"/>
      <c r="K194" s="42"/>
      <c r="L194" s="42"/>
      <c r="M194" s="42"/>
    </row>
    <row r="195" spans="1:13" ht="13" x14ac:dyDescent="0.25">
      <c r="A195" s="43"/>
      <c r="B195" s="42"/>
      <c r="C195" s="42"/>
      <c r="D195" s="53"/>
      <c r="E195" s="42"/>
      <c r="F195" s="42"/>
      <c r="G195" s="42"/>
      <c r="H195" s="42"/>
      <c r="I195" s="42"/>
      <c r="J195" s="42"/>
      <c r="K195" s="42"/>
      <c r="L195" s="42"/>
      <c r="M195" s="42"/>
    </row>
    <row r="196" spans="1:13" ht="13" x14ac:dyDescent="0.25">
      <c r="A196" s="43"/>
      <c r="B196" s="42"/>
      <c r="C196" s="42"/>
      <c r="D196" s="53"/>
      <c r="E196" s="42"/>
      <c r="F196" s="42"/>
      <c r="G196" s="42"/>
      <c r="H196" s="42"/>
      <c r="I196" s="42"/>
      <c r="J196" s="42"/>
      <c r="K196" s="42"/>
      <c r="L196" s="42"/>
      <c r="M196" s="42"/>
    </row>
    <row r="197" spans="1:13" ht="13" x14ac:dyDescent="0.25">
      <c r="A197" s="43"/>
      <c r="B197" s="42"/>
      <c r="C197" s="42"/>
      <c r="D197" s="53"/>
      <c r="E197" s="42"/>
      <c r="F197" s="42"/>
      <c r="G197" s="42"/>
      <c r="H197" s="42"/>
      <c r="I197" s="42"/>
      <c r="J197" s="42"/>
      <c r="K197" s="42"/>
      <c r="L197" s="42"/>
      <c r="M197" s="42"/>
    </row>
    <row r="198" spans="1:13" ht="13" x14ac:dyDescent="0.25">
      <c r="A198" s="43"/>
      <c r="B198" s="42"/>
      <c r="C198" s="42"/>
      <c r="D198" s="53"/>
      <c r="E198" s="42"/>
      <c r="F198" s="42"/>
      <c r="G198" s="42"/>
      <c r="H198" s="42"/>
      <c r="I198" s="42"/>
      <c r="J198" s="42"/>
      <c r="K198" s="42"/>
      <c r="L198" s="42"/>
      <c r="M198" s="42"/>
    </row>
    <row r="199" spans="1:13" ht="13" x14ac:dyDescent="0.25">
      <c r="A199" s="43"/>
      <c r="B199" s="42"/>
      <c r="C199" s="42"/>
      <c r="D199" s="53"/>
      <c r="E199" s="42"/>
      <c r="F199" s="42"/>
      <c r="G199" s="42"/>
      <c r="H199" s="42"/>
      <c r="I199" s="42"/>
      <c r="J199" s="42"/>
      <c r="K199" s="42"/>
      <c r="L199" s="42"/>
      <c r="M199" s="42"/>
    </row>
    <row r="200" spans="1:13" ht="13" x14ac:dyDescent="0.25">
      <c r="A200" s="43"/>
      <c r="B200" s="42"/>
      <c r="C200" s="42"/>
      <c r="D200" s="53"/>
      <c r="E200" s="42"/>
      <c r="F200" s="42"/>
      <c r="G200" s="42"/>
      <c r="H200" s="42"/>
      <c r="I200" s="42"/>
      <c r="J200" s="42"/>
      <c r="K200" s="42"/>
      <c r="L200" s="42"/>
      <c r="M200" s="42"/>
    </row>
    <row r="201" spans="1:13" ht="13" x14ac:dyDescent="0.25">
      <c r="A201" s="43"/>
      <c r="B201" s="42"/>
      <c r="C201" s="42"/>
      <c r="D201" s="53"/>
      <c r="E201" s="42"/>
      <c r="F201" s="42"/>
      <c r="G201" s="42"/>
      <c r="H201" s="42"/>
      <c r="I201" s="42"/>
      <c r="J201" s="42"/>
      <c r="K201" s="42"/>
      <c r="L201" s="42"/>
      <c r="M201" s="42"/>
    </row>
    <row r="202" spans="1:13" ht="13" x14ac:dyDescent="0.25">
      <c r="A202" s="43"/>
      <c r="B202" s="42"/>
      <c r="C202" s="42"/>
      <c r="D202" s="53"/>
      <c r="E202" s="42"/>
      <c r="F202" s="42"/>
      <c r="G202" s="42"/>
      <c r="H202" s="42"/>
      <c r="I202" s="42"/>
      <c r="J202" s="42"/>
      <c r="K202" s="42"/>
      <c r="L202" s="42"/>
      <c r="M202" s="42"/>
    </row>
    <row r="203" spans="1:13" ht="13" x14ac:dyDescent="0.25">
      <c r="A203" s="43"/>
      <c r="B203" s="42"/>
      <c r="C203" s="42"/>
      <c r="D203" s="53"/>
      <c r="E203" s="42"/>
      <c r="F203" s="42"/>
      <c r="G203" s="42"/>
      <c r="H203" s="42"/>
      <c r="I203" s="42"/>
      <c r="J203" s="42"/>
      <c r="K203" s="42"/>
      <c r="L203" s="42"/>
      <c r="M203" s="42"/>
    </row>
    <row r="204" spans="1:13" ht="13" x14ac:dyDescent="0.25">
      <c r="A204" s="43"/>
      <c r="B204" s="42"/>
      <c r="C204" s="42"/>
      <c r="D204" s="53"/>
      <c r="E204" s="42"/>
      <c r="F204" s="42"/>
      <c r="G204" s="42"/>
      <c r="H204" s="42"/>
      <c r="I204" s="42"/>
      <c r="J204" s="42"/>
      <c r="K204" s="42"/>
      <c r="L204" s="42"/>
      <c r="M204" s="42"/>
    </row>
    <row r="205" spans="1:13" ht="13" x14ac:dyDescent="0.25">
      <c r="A205" s="43"/>
      <c r="B205" s="42"/>
      <c r="C205" s="42"/>
      <c r="D205" s="53"/>
      <c r="E205" s="42"/>
      <c r="F205" s="42"/>
      <c r="G205" s="42"/>
      <c r="H205" s="42"/>
      <c r="I205" s="42"/>
      <c r="J205" s="42"/>
      <c r="K205" s="42"/>
      <c r="L205" s="42"/>
      <c r="M205" s="42"/>
    </row>
    <row r="206" spans="1:13" ht="13" x14ac:dyDescent="0.25">
      <c r="A206" s="43"/>
      <c r="B206" s="42"/>
      <c r="C206" s="42"/>
      <c r="D206" s="53"/>
      <c r="E206" s="42"/>
      <c r="F206" s="42"/>
      <c r="G206" s="42"/>
      <c r="H206" s="42"/>
      <c r="I206" s="42"/>
      <c r="J206" s="42"/>
      <c r="K206" s="42"/>
      <c r="L206" s="42"/>
      <c r="M206" s="42"/>
    </row>
    <row r="207" spans="1:13" ht="13" x14ac:dyDescent="0.25">
      <c r="A207" s="43"/>
      <c r="B207" s="42"/>
      <c r="C207" s="42"/>
      <c r="D207" s="53"/>
      <c r="E207" s="42"/>
      <c r="F207" s="42"/>
      <c r="G207" s="42"/>
      <c r="H207" s="42"/>
      <c r="I207" s="42"/>
      <c r="J207" s="42"/>
      <c r="K207" s="42"/>
      <c r="L207" s="42"/>
      <c r="M207" s="42"/>
    </row>
    <row r="208" spans="1:13" ht="13" x14ac:dyDescent="0.25">
      <c r="A208" s="43"/>
      <c r="B208" s="42"/>
      <c r="C208" s="42"/>
      <c r="D208" s="53"/>
      <c r="E208" s="42"/>
      <c r="F208" s="42"/>
      <c r="G208" s="42"/>
      <c r="H208" s="42"/>
      <c r="I208" s="42"/>
      <c r="J208" s="42"/>
      <c r="K208" s="42"/>
      <c r="L208" s="42"/>
      <c r="M208" s="42"/>
    </row>
    <row r="209" spans="1:13" ht="13" x14ac:dyDescent="0.25">
      <c r="A209" s="43"/>
      <c r="B209" s="42"/>
      <c r="C209" s="42"/>
      <c r="D209" s="53"/>
      <c r="E209" s="42"/>
      <c r="F209" s="42"/>
      <c r="G209" s="42"/>
      <c r="H209" s="42"/>
      <c r="I209" s="42"/>
      <c r="J209" s="42"/>
      <c r="K209" s="42"/>
      <c r="L209" s="42"/>
      <c r="M209" s="42"/>
    </row>
    <row r="210" spans="1:13" ht="13" x14ac:dyDescent="0.25">
      <c r="A210" s="43"/>
      <c r="B210" s="42"/>
      <c r="C210" s="42"/>
      <c r="D210" s="53"/>
      <c r="E210" s="42"/>
      <c r="F210" s="42"/>
      <c r="G210" s="42"/>
      <c r="H210" s="42"/>
      <c r="I210" s="42"/>
      <c r="J210" s="42"/>
      <c r="K210" s="42"/>
      <c r="L210" s="42"/>
      <c r="M210" s="42"/>
    </row>
    <row r="211" spans="1:13" ht="13" x14ac:dyDescent="0.25">
      <c r="A211" s="43"/>
      <c r="B211" s="42"/>
      <c r="C211" s="42"/>
      <c r="D211" s="53"/>
      <c r="E211" s="42"/>
      <c r="F211" s="42"/>
      <c r="G211" s="42"/>
      <c r="H211" s="42"/>
      <c r="I211" s="42"/>
      <c r="J211" s="42"/>
      <c r="K211" s="42"/>
      <c r="L211" s="42"/>
      <c r="M211" s="42"/>
    </row>
    <row r="212" spans="1:13" ht="13" x14ac:dyDescent="0.25">
      <c r="A212" s="43"/>
      <c r="B212" s="42"/>
      <c r="C212" s="42"/>
      <c r="D212" s="53"/>
      <c r="E212" s="42"/>
      <c r="F212" s="42"/>
      <c r="G212" s="42"/>
      <c r="H212" s="42"/>
      <c r="I212" s="42"/>
      <c r="J212" s="42"/>
      <c r="K212" s="42"/>
      <c r="L212" s="42"/>
      <c r="M212" s="42"/>
    </row>
    <row r="213" spans="1:13" ht="13" x14ac:dyDescent="0.25">
      <c r="A213" s="43"/>
      <c r="B213" s="42"/>
      <c r="C213" s="42"/>
      <c r="D213" s="53"/>
      <c r="E213" s="42"/>
      <c r="F213" s="42"/>
      <c r="G213" s="42"/>
      <c r="H213" s="42"/>
      <c r="I213" s="42"/>
      <c r="J213" s="42"/>
      <c r="K213" s="42"/>
      <c r="L213" s="42"/>
      <c r="M213" s="42"/>
    </row>
    <row r="214" spans="1:13" ht="13" x14ac:dyDescent="0.25">
      <c r="A214" s="43"/>
      <c r="B214" s="42"/>
      <c r="C214" s="42"/>
      <c r="D214" s="53"/>
      <c r="E214" s="42"/>
      <c r="F214" s="42"/>
      <c r="G214" s="42"/>
      <c r="H214" s="42"/>
      <c r="I214" s="42"/>
      <c r="J214" s="42"/>
      <c r="K214" s="42"/>
      <c r="L214" s="42"/>
      <c r="M214" s="42"/>
    </row>
    <row r="215" spans="1:13" ht="13" x14ac:dyDescent="0.25">
      <c r="A215" s="43"/>
      <c r="B215" s="42"/>
      <c r="C215" s="42"/>
      <c r="D215" s="53"/>
      <c r="E215" s="42"/>
      <c r="F215" s="42"/>
      <c r="G215" s="42"/>
      <c r="H215" s="42"/>
      <c r="I215" s="42"/>
      <c r="J215" s="42"/>
      <c r="K215" s="42"/>
      <c r="L215" s="42"/>
      <c r="M215" s="42"/>
    </row>
    <row r="216" spans="1:13" ht="13" x14ac:dyDescent="0.25">
      <c r="A216" s="43"/>
      <c r="B216" s="42"/>
      <c r="C216" s="42"/>
      <c r="D216" s="53"/>
      <c r="E216" s="42"/>
      <c r="F216" s="42"/>
      <c r="G216" s="42"/>
      <c r="H216" s="42"/>
      <c r="I216" s="42"/>
      <c r="J216" s="42"/>
      <c r="K216" s="42"/>
      <c r="L216" s="42"/>
      <c r="M216" s="42"/>
    </row>
    <row r="217" spans="1:13" ht="13" x14ac:dyDescent="0.25">
      <c r="A217" s="43"/>
      <c r="B217" s="42"/>
      <c r="C217" s="42"/>
      <c r="D217" s="53"/>
      <c r="E217" s="42"/>
      <c r="F217" s="42"/>
      <c r="G217" s="42"/>
      <c r="H217" s="42"/>
      <c r="I217" s="42"/>
      <c r="J217" s="42"/>
      <c r="K217" s="42"/>
      <c r="L217" s="42"/>
      <c r="M217" s="42"/>
    </row>
    <row r="218" spans="1:13" ht="13" x14ac:dyDescent="0.25">
      <c r="A218" s="43"/>
      <c r="B218" s="42"/>
      <c r="C218" s="42"/>
      <c r="D218" s="53"/>
      <c r="E218" s="42"/>
      <c r="F218" s="42"/>
      <c r="G218" s="42"/>
      <c r="H218" s="42"/>
      <c r="I218" s="42"/>
      <c r="J218" s="42"/>
      <c r="K218" s="42"/>
      <c r="L218" s="42"/>
      <c r="M218" s="42"/>
    </row>
    <row r="219" spans="1:13" ht="13" x14ac:dyDescent="0.25">
      <c r="A219" s="43"/>
      <c r="B219" s="42"/>
      <c r="C219" s="42"/>
      <c r="D219" s="53"/>
      <c r="E219" s="42"/>
      <c r="F219" s="42"/>
      <c r="G219" s="42"/>
      <c r="H219" s="42"/>
      <c r="I219" s="42"/>
      <c r="J219" s="42"/>
      <c r="K219" s="42"/>
      <c r="L219" s="42"/>
      <c r="M219" s="42"/>
    </row>
    <row r="220" spans="1:13" ht="13" x14ac:dyDescent="0.25">
      <c r="A220" s="43"/>
      <c r="B220" s="42"/>
      <c r="C220" s="42"/>
      <c r="D220" s="53"/>
      <c r="E220" s="42"/>
      <c r="F220" s="42"/>
      <c r="G220" s="42"/>
      <c r="H220" s="42"/>
      <c r="I220" s="42"/>
      <c r="J220" s="42"/>
      <c r="K220" s="42"/>
      <c r="L220" s="42"/>
      <c r="M220" s="42"/>
    </row>
    <row r="221" spans="1:13" ht="13" x14ac:dyDescent="0.25">
      <c r="A221" s="43"/>
      <c r="B221" s="42"/>
      <c r="C221" s="42"/>
      <c r="D221" s="53"/>
      <c r="E221" s="42"/>
      <c r="F221" s="42"/>
      <c r="G221" s="42"/>
      <c r="H221" s="42"/>
      <c r="I221" s="42"/>
      <c r="J221" s="42"/>
      <c r="K221" s="42"/>
      <c r="L221" s="42"/>
      <c r="M221" s="42"/>
    </row>
    <row r="222" spans="1:13" ht="13" x14ac:dyDescent="0.25">
      <c r="A222" s="43"/>
      <c r="B222" s="42"/>
      <c r="C222" s="42"/>
      <c r="D222" s="53"/>
      <c r="E222" s="42"/>
      <c r="F222" s="42"/>
      <c r="G222" s="42"/>
      <c r="H222" s="42"/>
      <c r="I222" s="42"/>
      <c r="J222" s="42"/>
      <c r="K222" s="42"/>
      <c r="L222" s="42"/>
      <c r="M222" s="42"/>
    </row>
    <row r="223" spans="1:13" ht="13" x14ac:dyDescent="0.25">
      <c r="A223" s="43"/>
      <c r="B223" s="42"/>
      <c r="C223" s="42"/>
      <c r="D223" s="53"/>
      <c r="E223" s="42"/>
      <c r="F223" s="42"/>
      <c r="G223" s="42"/>
      <c r="H223" s="42"/>
      <c r="I223" s="42"/>
      <c r="J223" s="42"/>
      <c r="K223" s="42"/>
      <c r="L223" s="42"/>
      <c r="M223" s="42"/>
    </row>
    <row r="224" spans="1:13" ht="13" x14ac:dyDescent="0.25">
      <c r="A224" s="43"/>
      <c r="B224" s="42"/>
      <c r="C224" s="42"/>
      <c r="D224" s="53"/>
      <c r="E224" s="42"/>
      <c r="F224" s="42"/>
      <c r="G224" s="42"/>
      <c r="H224" s="42"/>
      <c r="I224" s="42"/>
      <c r="J224" s="42"/>
      <c r="K224" s="42"/>
      <c r="L224" s="42"/>
      <c r="M224" s="42"/>
    </row>
    <row r="225" spans="1:13" ht="13" x14ac:dyDescent="0.25">
      <c r="A225" s="43"/>
      <c r="B225" s="42"/>
      <c r="C225" s="42"/>
      <c r="D225" s="53"/>
      <c r="E225" s="42"/>
      <c r="F225" s="42"/>
      <c r="G225" s="42"/>
      <c r="H225" s="42"/>
      <c r="I225" s="42"/>
      <c r="J225" s="42"/>
      <c r="K225" s="42"/>
      <c r="L225" s="42"/>
      <c r="M225" s="42"/>
    </row>
    <row r="226" spans="1:13" ht="13" x14ac:dyDescent="0.25">
      <c r="A226" s="43"/>
      <c r="B226" s="42"/>
      <c r="C226" s="42"/>
      <c r="D226" s="53"/>
      <c r="E226" s="42"/>
      <c r="F226" s="42"/>
      <c r="G226" s="42"/>
      <c r="H226" s="42"/>
      <c r="I226" s="42"/>
      <c r="J226" s="42"/>
      <c r="K226" s="42"/>
      <c r="L226" s="42"/>
      <c r="M226" s="42"/>
    </row>
    <row r="227" spans="1:13" ht="13" x14ac:dyDescent="0.25">
      <c r="A227" s="43"/>
      <c r="B227" s="42"/>
      <c r="C227" s="42"/>
      <c r="D227" s="53"/>
      <c r="E227" s="42"/>
      <c r="F227" s="42"/>
      <c r="G227" s="42"/>
      <c r="H227" s="42"/>
      <c r="I227" s="42"/>
      <c r="J227" s="42"/>
      <c r="K227" s="42"/>
      <c r="L227" s="42"/>
      <c r="M227" s="42"/>
    </row>
    <row r="228" spans="1:13" ht="13" x14ac:dyDescent="0.25">
      <c r="A228" s="43"/>
      <c r="B228" s="42"/>
      <c r="C228" s="42"/>
      <c r="D228" s="53"/>
      <c r="E228" s="42"/>
      <c r="F228" s="42"/>
      <c r="G228" s="42"/>
      <c r="H228" s="42"/>
      <c r="I228" s="42"/>
      <c r="J228" s="42"/>
      <c r="K228" s="42"/>
      <c r="L228" s="42"/>
      <c r="M228" s="42"/>
    </row>
    <row r="229" spans="1:13" ht="13" x14ac:dyDescent="0.25">
      <c r="A229" s="43"/>
      <c r="B229" s="42"/>
      <c r="C229" s="42"/>
      <c r="D229" s="53"/>
      <c r="E229" s="42"/>
      <c r="F229" s="42"/>
      <c r="G229" s="42"/>
      <c r="H229" s="42"/>
      <c r="I229" s="42"/>
      <c r="J229" s="42"/>
      <c r="K229" s="42"/>
      <c r="L229" s="42"/>
      <c r="M229" s="42"/>
    </row>
    <row r="230" spans="1:13" ht="13" x14ac:dyDescent="0.25">
      <c r="A230" s="43"/>
      <c r="B230" s="42"/>
      <c r="C230" s="42"/>
      <c r="D230" s="53"/>
      <c r="E230" s="42"/>
      <c r="F230" s="42"/>
      <c r="G230" s="42"/>
      <c r="H230" s="42"/>
      <c r="I230" s="42"/>
      <c r="J230" s="42"/>
      <c r="K230" s="42"/>
      <c r="L230" s="42"/>
      <c r="M230" s="42"/>
    </row>
    <row r="231" spans="1:13" ht="13" x14ac:dyDescent="0.25">
      <c r="A231" s="43"/>
      <c r="B231" s="42"/>
      <c r="C231" s="42"/>
      <c r="D231" s="53"/>
      <c r="E231" s="42"/>
      <c r="F231" s="42"/>
      <c r="G231" s="42"/>
      <c r="H231" s="42"/>
      <c r="I231" s="42"/>
      <c r="J231" s="42"/>
      <c r="K231" s="42"/>
      <c r="L231" s="42"/>
      <c r="M231" s="42"/>
    </row>
    <row r="232" spans="1:13" ht="13" x14ac:dyDescent="0.25">
      <c r="A232" s="43"/>
      <c r="B232" s="42"/>
      <c r="C232" s="42"/>
      <c r="D232" s="53"/>
      <c r="E232" s="42"/>
      <c r="F232" s="42"/>
      <c r="G232" s="42"/>
      <c r="H232" s="42"/>
      <c r="I232" s="42"/>
      <c r="J232" s="42"/>
      <c r="K232" s="42"/>
      <c r="L232" s="42"/>
      <c r="M232" s="42"/>
    </row>
    <row r="233" spans="1:13" ht="13" x14ac:dyDescent="0.25">
      <c r="A233" s="43"/>
      <c r="B233" s="42"/>
      <c r="C233" s="42"/>
      <c r="D233" s="53"/>
      <c r="E233" s="42"/>
      <c r="F233" s="42"/>
      <c r="G233" s="42"/>
      <c r="H233" s="42"/>
      <c r="I233" s="42"/>
      <c r="J233" s="42"/>
      <c r="K233" s="42"/>
      <c r="L233" s="42"/>
      <c r="M233" s="42"/>
    </row>
    <row r="234" spans="1:13" ht="13" x14ac:dyDescent="0.25">
      <c r="A234" s="43"/>
      <c r="B234" s="42"/>
      <c r="C234" s="42"/>
      <c r="D234" s="53"/>
      <c r="E234" s="42"/>
      <c r="F234" s="42"/>
      <c r="G234" s="42"/>
      <c r="H234" s="42"/>
      <c r="I234" s="42"/>
      <c r="J234" s="42"/>
      <c r="K234" s="42"/>
      <c r="L234" s="42"/>
      <c r="M234" s="42"/>
    </row>
    <row r="235" spans="1:13" ht="13" x14ac:dyDescent="0.25">
      <c r="A235" s="43"/>
      <c r="B235" s="42"/>
      <c r="C235" s="42"/>
      <c r="D235" s="53"/>
      <c r="E235" s="42"/>
      <c r="F235" s="42"/>
      <c r="G235" s="42"/>
      <c r="H235" s="42"/>
      <c r="I235" s="42"/>
      <c r="J235" s="42"/>
      <c r="K235" s="42"/>
      <c r="L235" s="42"/>
      <c r="M235" s="42"/>
    </row>
    <row r="236" spans="1:13" ht="13" x14ac:dyDescent="0.25">
      <c r="A236" s="43"/>
      <c r="B236" s="42"/>
      <c r="C236" s="42"/>
      <c r="D236" s="53"/>
      <c r="E236" s="42"/>
      <c r="F236" s="42"/>
      <c r="G236" s="42"/>
      <c r="H236" s="42"/>
      <c r="I236" s="42"/>
      <c r="J236" s="42"/>
      <c r="K236" s="42"/>
      <c r="L236" s="42"/>
      <c r="M236" s="42"/>
    </row>
    <row r="237" spans="1:13" ht="13" x14ac:dyDescent="0.25">
      <c r="A237" s="43"/>
      <c r="B237" s="42"/>
      <c r="C237" s="42"/>
      <c r="D237" s="53"/>
      <c r="E237" s="42"/>
      <c r="F237" s="42"/>
      <c r="G237" s="42"/>
      <c r="H237" s="42"/>
      <c r="I237" s="42"/>
      <c r="J237" s="42"/>
      <c r="K237" s="42"/>
      <c r="L237" s="42"/>
      <c r="M237" s="42"/>
    </row>
    <row r="238" spans="1:13" ht="13" x14ac:dyDescent="0.25">
      <c r="A238" s="43"/>
      <c r="B238" s="42"/>
      <c r="C238" s="42"/>
      <c r="D238" s="53"/>
      <c r="E238" s="42"/>
      <c r="F238" s="42"/>
      <c r="G238" s="42"/>
      <c r="H238" s="42"/>
      <c r="I238" s="42"/>
      <c r="J238" s="42"/>
      <c r="K238" s="42"/>
      <c r="L238" s="42"/>
      <c r="M238" s="42"/>
    </row>
    <row r="239" spans="1:13" ht="13" x14ac:dyDescent="0.25">
      <c r="A239" s="43"/>
      <c r="B239" s="42"/>
      <c r="C239" s="42"/>
      <c r="D239" s="53"/>
      <c r="E239" s="42"/>
      <c r="F239" s="42"/>
      <c r="G239" s="42"/>
      <c r="H239" s="42"/>
      <c r="I239" s="42"/>
      <c r="J239" s="42"/>
      <c r="K239" s="42"/>
      <c r="L239" s="42"/>
      <c r="M239" s="42"/>
    </row>
    <row r="240" spans="1:13" ht="13" x14ac:dyDescent="0.25">
      <c r="A240" s="43"/>
      <c r="B240" s="42"/>
      <c r="C240" s="42"/>
      <c r="D240" s="53"/>
      <c r="E240" s="42"/>
      <c r="F240" s="42"/>
      <c r="G240" s="42"/>
      <c r="H240" s="42"/>
      <c r="I240" s="42"/>
      <c r="J240" s="42"/>
      <c r="K240" s="42"/>
      <c r="L240" s="42"/>
      <c r="M240" s="42"/>
    </row>
    <row r="241" spans="1:13" ht="13" x14ac:dyDescent="0.25">
      <c r="A241" s="43"/>
      <c r="B241" s="42"/>
      <c r="C241" s="42"/>
      <c r="D241" s="53"/>
      <c r="E241" s="42"/>
      <c r="F241" s="42"/>
      <c r="G241" s="42"/>
      <c r="H241" s="42"/>
      <c r="I241" s="42"/>
      <c r="J241" s="42"/>
      <c r="K241" s="42"/>
      <c r="L241" s="42"/>
      <c r="M241" s="42"/>
    </row>
    <row r="242" spans="1:13" ht="13" x14ac:dyDescent="0.25">
      <c r="A242" s="43"/>
      <c r="B242" s="42"/>
      <c r="C242" s="42"/>
      <c r="D242" s="53"/>
      <c r="E242" s="42"/>
      <c r="F242" s="42"/>
      <c r="G242" s="42"/>
      <c r="H242" s="42"/>
      <c r="I242" s="42"/>
      <c r="J242" s="42"/>
      <c r="K242" s="42"/>
      <c r="L242" s="42"/>
      <c r="M242" s="42"/>
    </row>
    <row r="243" spans="1:13" ht="13" x14ac:dyDescent="0.25">
      <c r="A243" s="43"/>
      <c r="B243" s="42"/>
      <c r="C243" s="42"/>
      <c r="D243" s="53"/>
      <c r="E243" s="42"/>
      <c r="F243" s="42"/>
      <c r="G243" s="42"/>
      <c r="H243" s="42"/>
      <c r="I243" s="42"/>
      <c r="J243" s="42"/>
      <c r="K243" s="42"/>
      <c r="L243" s="42"/>
      <c r="M243" s="42"/>
    </row>
    <row r="244" spans="1:13" ht="13" x14ac:dyDescent="0.25">
      <c r="A244" s="43"/>
      <c r="B244" s="42"/>
      <c r="C244" s="42"/>
      <c r="D244" s="53"/>
      <c r="E244" s="42"/>
      <c r="F244" s="42"/>
      <c r="G244" s="42"/>
      <c r="H244" s="42"/>
      <c r="I244" s="42"/>
      <c r="J244" s="42"/>
      <c r="K244" s="42"/>
      <c r="L244" s="42"/>
      <c r="M244" s="42"/>
    </row>
    <row r="245" spans="1:13" ht="13" x14ac:dyDescent="0.25">
      <c r="A245" s="43"/>
      <c r="B245" s="42"/>
      <c r="C245" s="42"/>
      <c r="D245" s="53"/>
      <c r="E245" s="42"/>
      <c r="F245" s="42"/>
      <c r="G245" s="42"/>
      <c r="H245" s="42"/>
      <c r="I245" s="42"/>
      <c r="J245" s="42"/>
      <c r="K245" s="42"/>
      <c r="L245" s="42"/>
      <c r="M245" s="42"/>
    </row>
    <row r="246" spans="1:13" ht="13" x14ac:dyDescent="0.25">
      <c r="A246" s="43"/>
      <c r="B246" s="42"/>
      <c r="C246" s="42"/>
      <c r="D246" s="53"/>
      <c r="E246" s="42"/>
      <c r="F246" s="42"/>
      <c r="G246" s="42"/>
      <c r="H246" s="42"/>
      <c r="I246" s="42"/>
      <c r="J246" s="42"/>
      <c r="K246" s="42"/>
      <c r="L246" s="42"/>
      <c r="M246" s="42"/>
    </row>
    <row r="247" spans="1:13" ht="13" x14ac:dyDescent="0.25">
      <c r="A247" s="43"/>
      <c r="B247" s="42"/>
      <c r="C247" s="42"/>
      <c r="D247" s="53"/>
      <c r="E247" s="42"/>
      <c r="F247" s="42"/>
      <c r="G247" s="42"/>
      <c r="H247" s="42"/>
      <c r="I247" s="42"/>
      <c r="J247" s="42"/>
      <c r="K247" s="42"/>
      <c r="L247" s="42"/>
      <c r="M247" s="42"/>
    </row>
    <row r="248" spans="1:13" ht="13" x14ac:dyDescent="0.25">
      <c r="A248" s="43"/>
      <c r="B248" s="42"/>
      <c r="C248" s="42"/>
      <c r="D248" s="53"/>
      <c r="E248" s="42"/>
      <c r="F248" s="42"/>
      <c r="G248" s="42"/>
      <c r="H248" s="42"/>
      <c r="I248" s="42"/>
      <c r="J248" s="42"/>
      <c r="K248" s="42"/>
      <c r="L248" s="42"/>
      <c r="M248" s="42"/>
    </row>
    <row r="249" spans="1:13" ht="13" x14ac:dyDescent="0.25">
      <c r="A249" s="43"/>
      <c r="B249" s="42"/>
      <c r="C249" s="42"/>
      <c r="D249" s="53"/>
      <c r="E249" s="42"/>
      <c r="F249" s="42"/>
      <c r="G249" s="42"/>
      <c r="H249" s="42"/>
      <c r="I249" s="42"/>
      <c r="J249" s="42"/>
      <c r="K249" s="42"/>
      <c r="L249" s="42"/>
      <c r="M249" s="42"/>
    </row>
    <row r="250" spans="1:13" ht="13" x14ac:dyDescent="0.25">
      <c r="A250" s="43"/>
      <c r="B250" s="42"/>
      <c r="C250" s="42"/>
      <c r="D250" s="53"/>
      <c r="E250" s="42"/>
      <c r="F250" s="42"/>
      <c r="G250" s="42"/>
      <c r="H250" s="42"/>
      <c r="I250" s="42"/>
      <c r="J250" s="42"/>
      <c r="K250" s="42"/>
      <c r="L250" s="42"/>
      <c r="M250" s="42"/>
    </row>
    <row r="251" spans="1:13" ht="13" x14ac:dyDescent="0.25">
      <c r="A251" s="43"/>
      <c r="B251" s="42"/>
      <c r="C251" s="42"/>
      <c r="D251" s="53"/>
      <c r="E251" s="42"/>
      <c r="F251" s="42"/>
      <c r="G251" s="42"/>
      <c r="H251" s="42"/>
      <c r="I251" s="42"/>
      <c r="J251" s="42"/>
      <c r="K251" s="42"/>
      <c r="L251" s="42"/>
      <c r="M251" s="42"/>
    </row>
    <row r="252" spans="1:13" ht="13" x14ac:dyDescent="0.25">
      <c r="A252" s="43"/>
      <c r="B252" s="42"/>
      <c r="C252" s="42"/>
      <c r="D252" s="53"/>
      <c r="E252" s="42"/>
      <c r="F252" s="42"/>
      <c r="G252" s="42"/>
      <c r="H252" s="42"/>
      <c r="I252" s="42"/>
      <c r="J252" s="42"/>
      <c r="K252" s="42"/>
      <c r="L252" s="42"/>
      <c r="M252" s="42"/>
    </row>
    <row r="253" spans="1:13" ht="13" x14ac:dyDescent="0.25">
      <c r="A253" s="43"/>
      <c r="B253" s="42"/>
      <c r="C253" s="42"/>
      <c r="D253" s="53"/>
      <c r="E253" s="42"/>
      <c r="F253" s="42"/>
      <c r="G253" s="42"/>
      <c r="H253" s="42"/>
      <c r="I253" s="42"/>
      <c r="J253" s="42"/>
      <c r="K253" s="42"/>
      <c r="L253" s="42"/>
      <c r="M253" s="42"/>
    </row>
    <row r="254" spans="1:13" ht="13" x14ac:dyDescent="0.25">
      <c r="A254" s="43"/>
      <c r="B254" s="42"/>
      <c r="C254" s="42"/>
      <c r="D254" s="53"/>
      <c r="E254" s="42"/>
      <c r="F254" s="42"/>
      <c r="G254" s="42"/>
      <c r="H254" s="42"/>
      <c r="I254" s="42"/>
      <c r="J254" s="42"/>
      <c r="K254" s="42"/>
      <c r="L254" s="42"/>
      <c r="M254" s="42"/>
    </row>
    <row r="255" spans="1:13" ht="13" x14ac:dyDescent="0.25">
      <c r="A255" s="43"/>
      <c r="B255" s="42"/>
      <c r="C255" s="42"/>
      <c r="D255" s="53"/>
      <c r="E255" s="42"/>
      <c r="F255" s="42"/>
      <c r="G255" s="42"/>
      <c r="H255" s="42"/>
      <c r="I255" s="42"/>
      <c r="J255" s="42"/>
      <c r="K255" s="42"/>
      <c r="L255" s="42"/>
      <c r="M255" s="42"/>
    </row>
    <row r="256" spans="1:13" ht="13" x14ac:dyDescent="0.25">
      <c r="A256" s="43"/>
      <c r="B256" s="42"/>
      <c r="C256" s="42"/>
      <c r="D256" s="53"/>
      <c r="E256" s="42"/>
      <c r="F256" s="42"/>
      <c r="G256" s="42"/>
      <c r="H256" s="42"/>
      <c r="I256" s="42"/>
      <c r="J256" s="42"/>
      <c r="K256" s="42"/>
      <c r="L256" s="42"/>
      <c r="M256" s="42"/>
    </row>
    <row r="257" spans="1:13" ht="13" x14ac:dyDescent="0.25">
      <c r="A257" s="43"/>
      <c r="B257" s="42"/>
      <c r="C257" s="42"/>
      <c r="D257" s="53"/>
      <c r="E257" s="42"/>
      <c r="F257" s="42"/>
      <c r="G257" s="42"/>
      <c r="H257" s="42"/>
      <c r="I257" s="42"/>
      <c r="J257" s="42"/>
      <c r="K257" s="42"/>
      <c r="L257" s="42"/>
      <c r="M257" s="42"/>
    </row>
    <row r="258" spans="1:13" ht="13" x14ac:dyDescent="0.25">
      <c r="A258" s="43"/>
      <c r="B258" s="42"/>
      <c r="C258" s="42"/>
      <c r="D258" s="53"/>
      <c r="E258" s="42"/>
      <c r="F258" s="42"/>
      <c r="G258" s="42"/>
      <c r="H258" s="42"/>
      <c r="I258" s="42"/>
      <c r="J258" s="42"/>
      <c r="K258" s="42"/>
      <c r="L258" s="42"/>
      <c r="M258" s="42"/>
    </row>
    <row r="259" spans="1:13" ht="13" x14ac:dyDescent="0.25">
      <c r="A259" s="43"/>
      <c r="B259" s="42"/>
      <c r="C259" s="42"/>
      <c r="D259" s="53"/>
      <c r="E259" s="42"/>
      <c r="F259" s="42"/>
      <c r="G259" s="42"/>
      <c r="H259" s="42"/>
      <c r="I259" s="42"/>
      <c r="J259" s="42"/>
      <c r="K259" s="42"/>
      <c r="L259" s="42"/>
      <c r="M259" s="42"/>
    </row>
    <row r="260" spans="1:13" ht="13" x14ac:dyDescent="0.25">
      <c r="A260" s="43"/>
      <c r="B260" s="42"/>
      <c r="C260" s="42"/>
      <c r="D260" s="53"/>
      <c r="E260" s="42"/>
      <c r="F260" s="42"/>
      <c r="G260" s="42"/>
      <c r="H260" s="42"/>
      <c r="I260" s="42"/>
      <c r="J260" s="42"/>
      <c r="K260" s="42"/>
      <c r="L260" s="42"/>
      <c r="M260" s="42"/>
    </row>
    <row r="261" spans="1:13" ht="13" x14ac:dyDescent="0.25">
      <c r="A261" s="43"/>
      <c r="B261" s="42"/>
      <c r="C261" s="42"/>
      <c r="D261" s="53"/>
      <c r="E261" s="42"/>
      <c r="F261" s="42"/>
      <c r="G261" s="42"/>
      <c r="H261" s="42"/>
      <c r="I261" s="42"/>
      <c r="J261" s="42"/>
      <c r="K261" s="42"/>
      <c r="L261" s="42"/>
      <c r="M261" s="42"/>
    </row>
    <row r="262" spans="1:13" ht="13" x14ac:dyDescent="0.25">
      <c r="A262" s="43"/>
      <c r="B262" s="42"/>
      <c r="C262" s="42"/>
      <c r="D262" s="53"/>
      <c r="E262" s="42"/>
      <c r="F262" s="42"/>
      <c r="G262" s="42"/>
      <c r="H262" s="42"/>
      <c r="I262" s="42"/>
      <c r="J262" s="42"/>
      <c r="K262" s="42"/>
      <c r="L262" s="42"/>
      <c r="M262" s="42"/>
    </row>
    <row r="263" spans="1:13" ht="13" x14ac:dyDescent="0.25">
      <c r="A263" s="43"/>
      <c r="B263" s="42"/>
      <c r="C263" s="42"/>
      <c r="D263" s="53"/>
      <c r="E263" s="42"/>
      <c r="F263" s="42"/>
      <c r="G263" s="42"/>
      <c r="H263" s="42"/>
      <c r="I263" s="42"/>
      <c r="J263" s="42"/>
      <c r="K263" s="42"/>
      <c r="L263" s="42"/>
      <c r="M263" s="42"/>
    </row>
    <row r="264" spans="1:13" ht="13" x14ac:dyDescent="0.25">
      <c r="A264" s="43"/>
      <c r="B264" s="42"/>
      <c r="C264" s="42"/>
      <c r="D264" s="53"/>
      <c r="E264" s="42"/>
      <c r="F264" s="42"/>
      <c r="G264" s="42"/>
      <c r="H264" s="42"/>
      <c r="I264" s="42"/>
      <c r="J264" s="42"/>
      <c r="K264" s="42"/>
      <c r="L264" s="42"/>
      <c r="M264" s="42"/>
    </row>
    <row r="265" spans="1:13" ht="13" x14ac:dyDescent="0.25">
      <c r="A265" s="43"/>
      <c r="B265" s="42"/>
      <c r="C265" s="42"/>
      <c r="D265" s="53"/>
      <c r="E265" s="42"/>
      <c r="F265" s="42"/>
      <c r="G265" s="42"/>
      <c r="H265" s="42"/>
      <c r="I265" s="42"/>
      <c r="J265" s="42"/>
      <c r="K265" s="42"/>
      <c r="L265" s="42"/>
      <c r="M265" s="42"/>
    </row>
    <row r="266" spans="1:13" ht="13" x14ac:dyDescent="0.25">
      <c r="A266" s="43"/>
      <c r="B266" s="42"/>
      <c r="C266" s="42"/>
      <c r="D266" s="53"/>
      <c r="E266" s="42"/>
      <c r="F266" s="42"/>
      <c r="G266" s="42"/>
      <c r="H266" s="42"/>
      <c r="I266" s="42"/>
      <c r="J266" s="42"/>
      <c r="K266" s="42"/>
      <c r="L266" s="42"/>
      <c r="M266" s="42"/>
    </row>
    <row r="267" spans="1:13" ht="13" x14ac:dyDescent="0.25">
      <c r="A267" s="43"/>
      <c r="B267" s="42"/>
      <c r="C267" s="42"/>
      <c r="D267" s="53"/>
      <c r="E267" s="42"/>
      <c r="F267" s="42"/>
      <c r="G267" s="42"/>
      <c r="H267" s="42"/>
      <c r="I267" s="42"/>
      <c r="J267" s="42"/>
      <c r="K267" s="42"/>
      <c r="L267" s="42"/>
      <c r="M267" s="42"/>
    </row>
    <row r="268" spans="1:13" ht="13" x14ac:dyDescent="0.25">
      <c r="A268" s="43"/>
      <c r="B268" s="42"/>
      <c r="C268" s="42"/>
      <c r="D268" s="53"/>
      <c r="E268" s="42"/>
      <c r="F268" s="42"/>
      <c r="G268" s="42"/>
      <c r="H268" s="42"/>
      <c r="I268" s="42"/>
      <c r="J268" s="42"/>
      <c r="K268" s="42"/>
      <c r="L268" s="42"/>
      <c r="M268" s="42"/>
    </row>
    <row r="269" spans="1:13" ht="13" x14ac:dyDescent="0.25">
      <c r="A269" s="43"/>
      <c r="B269" s="42"/>
      <c r="C269" s="42"/>
      <c r="D269" s="53"/>
      <c r="E269" s="42"/>
      <c r="F269" s="42"/>
      <c r="G269" s="42"/>
      <c r="H269" s="42"/>
      <c r="I269" s="42"/>
      <c r="J269" s="42"/>
      <c r="K269" s="42"/>
      <c r="L269" s="42"/>
      <c r="M269" s="42"/>
    </row>
    <row r="270" spans="1:13" ht="13" x14ac:dyDescent="0.25">
      <c r="A270" s="43"/>
      <c r="B270" s="42"/>
      <c r="C270" s="42"/>
      <c r="D270" s="53"/>
      <c r="E270" s="42"/>
      <c r="F270" s="42"/>
      <c r="G270" s="42"/>
      <c r="H270" s="42"/>
      <c r="I270" s="42"/>
      <c r="J270" s="42"/>
      <c r="K270" s="42"/>
      <c r="L270" s="42"/>
      <c r="M270" s="42"/>
    </row>
    <row r="271" spans="1:13" ht="13" x14ac:dyDescent="0.25">
      <c r="A271" s="43"/>
      <c r="B271" s="42"/>
      <c r="C271" s="42"/>
      <c r="D271" s="53"/>
      <c r="E271" s="42"/>
      <c r="F271" s="42"/>
      <c r="G271" s="42"/>
      <c r="H271" s="42"/>
      <c r="I271" s="42"/>
      <c r="J271" s="42"/>
      <c r="K271" s="42"/>
      <c r="L271" s="42"/>
      <c r="M271" s="42"/>
    </row>
    <row r="272" spans="1:13" ht="13" x14ac:dyDescent="0.25">
      <c r="A272" s="43"/>
      <c r="B272" s="42"/>
      <c r="C272" s="42"/>
      <c r="D272" s="53"/>
      <c r="E272" s="42"/>
      <c r="F272" s="42"/>
      <c r="G272" s="42"/>
      <c r="H272" s="42"/>
      <c r="I272" s="42"/>
      <c r="J272" s="42"/>
      <c r="K272" s="42"/>
      <c r="L272" s="42"/>
      <c r="M272" s="42"/>
    </row>
    <row r="273" spans="1:13" ht="13" x14ac:dyDescent="0.25">
      <c r="A273" s="43"/>
      <c r="B273" s="42"/>
      <c r="C273" s="42"/>
      <c r="D273" s="53"/>
      <c r="E273" s="42"/>
      <c r="F273" s="42"/>
      <c r="G273" s="42"/>
      <c r="H273" s="42"/>
      <c r="I273" s="42"/>
      <c r="J273" s="42"/>
      <c r="K273" s="42"/>
      <c r="L273" s="42"/>
      <c r="M273" s="42"/>
    </row>
    <row r="274" spans="1:13" ht="13" x14ac:dyDescent="0.25">
      <c r="A274" s="43"/>
      <c r="B274" s="42"/>
      <c r="C274" s="42"/>
      <c r="D274" s="53"/>
      <c r="E274" s="42"/>
      <c r="F274" s="42"/>
      <c r="G274" s="42"/>
      <c r="H274" s="42"/>
      <c r="I274" s="42"/>
      <c r="J274" s="42"/>
      <c r="K274" s="42"/>
      <c r="L274" s="42"/>
      <c r="M274" s="42"/>
    </row>
    <row r="275" spans="1:13" ht="13" x14ac:dyDescent="0.25">
      <c r="A275" s="43"/>
      <c r="B275" s="42"/>
      <c r="C275" s="42"/>
      <c r="D275" s="53"/>
      <c r="E275" s="42"/>
      <c r="F275" s="42"/>
      <c r="G275" s="42"/>
      <c r="H275" s="42"/>
      <c r="I275" s="42"/>
      <c r="J275" s="42"/>
      <c r="K275" s="42"/>
      <c r="L275" s="42"/>
      <c r="M275" s="42"/>
    </row>
    <row r="276" spans="1:13" ht="13" x14ac:dyDescent="0.25">
      <c r="A276" s="43"/>
      <c r="B276" s="42"/>
      <c r="C276" s="42"/>
      <c r="D276" s="53"/>
      <c r="E276" s="42"/>
      <c r="F276" s="42"/>
      <c r="G276" s="42"/>
      <c r="H276" s="42"/>
      <c r="I276" s="42"/>
      <c r="J276" s="42"/>
      <c r="K276" s="42"/>
      <c r="L276" s="42"/>
      <c r="M276" s="42"/>
    </row>
    <row r="277" spans="1:13" ht="13" x14ac:dyDescent="0.25">
      <c r="A277" s="43"/>
      <c r="B277" s="42"/>
      <c r="C277" s="42"/>
      <c r="D277" s="53"/>
      <c r="E277" s="42"/>
      <c r="F277" s="42"/>
      <c r="G277" s="42"/>
      <c r="H277" s="42"/>
      <c r="I277" s="42"/>
      <c r="J277" s="42"/>
      <c r="K277" s="42"/>
      <c r="L277" s="42"/>
      <c r="M277" s="42"/>
    </row>
    <row r="278" spans="1:13" ht="13" x14ac:dyDescent="0.25">
      <c r="A278" s="43"/>
      <c r="B278" s="42"/>
      <c r="C278" s="42"/>
      <c r="D278" s="53"/>
      <c r="E278" s="42"/>
      <c r="F278" s="42"/>
      <c r="G278" s="42"/>
      <c r="H278" s="42"/>
      <c r="I278" s="42"/>
      <c r="J278" s="42"/>
      <c r="K278" s="42"/>
      <c r="L278" s="42"/>
      <c r="M278" s="42"/>
    </row>
    <row r="279" spans="1:13" ht="13" x14ac:dyDescent="0.25">
      <c r="A279" s="43"/>
      <c r="B279" s="42"/>
      <c r="C279" s="42"/>
      <c r="D279" s="53"/>
      <c r="E279" s="42"/>
      <c r="F279" s="42"/>
      <c r="G279" s="42"/>
      <c r="H279" s="42"/>
      <c r="I279" s="42"/>
      <c r="J279" s="42"/>
      <c r="K279" s="42"/>
      <c r="L279" s="42"/>
      <c r="M279" s="42"/>
    </row>
    <row r="280" spans="1:13" ht="13" x14ac:dyDescent="0.25">
      <c r="A280" s="43"/>
      <c r="B280" s="42"/>
      <c r="C280" s="42"/>
      <c r="D280" s="53"/>
      <c r="E280" s="42"/>
      <c r="F280" s="42"/>
      <c r="G280" s="42"/>
      <c r="H280" s="42"/>
      <c r="I280" s="42"/>
      <c r="J280" s="42"/>
      <c r="K280" s="42"/>
      <c r="L280" s="42"/>
      <c r="M280" s="42"/>
    </row>
    <row r="281" spans="1:13" ht="13" x14ac:dyDescent="0.25">
      <c r="A281" s="43"/>
      <c r="B281" s="42"/>
      <c r="C281" s="42"/>
      <c r="D281" s="53"/>
      <c r="E281" s="42"/>
      <c r="F281" s="42"/>
      <c r="G281" s="42"/>
      <c r="H281" s="42"/>
      <c r="I281" s="42"/>
      <c r="J281" s="42"/>
      <c r="K281" s="42"/>
      <c r="L281" s="42"/>
      <c r="M281" s="42"/>
    </row>
    <row r="282" spans="1:13" ht="13" x14ac:dyDescent="0.25">
      <c r="A282" s="43"/>
      <c r="B282" s="42"/>
      <c r="C282" s="42"/>
      <c r="D282" s="53"/>
      <c r="E282" s="42"/>
      <c r="F282" s="42"/>
      <c r="G282" s="42"/>
      <c r="H282" s="42"/>
      <c r="I282" s="42"/>
      <c r="J282" s="42"/>
      <c r="K282" s="42"/>
      <c r="L282" s="42"/>
      <c r="M282" s="42"/>
    </row>
    <row r="283" spans="1:13" ht="13" x14ac:dyDescent="0.25">
      <c r="A283" s="43"/>
      <c r="B283" s="42"/>
      <c r="C283" s="42"/>
      <c r="D283" s="53"/>
      <c r="E283" s="42"/>
      <c r="F283" s="42"/>
      <c r="G283" s="42"/>
      <c r="H283" s="42"/>
      <c r="I283" s="42"/>
      <c r="J283" s="42"/>
      <c r="K283" s="42"/>
      <c r="L283" s="42"/>
      <c r="M283" s="42"/>
    </row>
    <row r="284" spans="1:13" ht="13" x14ac:dyDescent="0.25">
      <c r="A284" s="43"/>
      <c r="B284" s="42"/>
      <c r="C284" s="42"/>
      <c r="D284" s="53"/>
      <c r="E284" s="42"/>
      <c r="F284" s="42"/>
      <c r="G284" s="42"/>
      <c r="H284" s="42"/>
      <c r="I284" s="42"/>
      <c r="J284" s="42"/>
      <c r="K284" s="42"/>
      <c r="L284" s="42"/>
      <c r="M284" s="42"/>
    </row>
    <row r="285" spans="1:13" ht="13" x14ac:dyDescent="0.25">
      <c r="A285" s="43"/>
      <c r="B285" s="42"/>
      <c r="C285" s="42"/>
      <c r="D285" s="53"/>
      <c r="E285" s="42"/>
      <c r="F285" s="42"/>
      <c r="G285" s="42"/>
      <c r="H285" s="42"/>
      <c r="I285" s="42"/>
      <c r="J285" s="42"/>
      <c r="K285" s="42"/>
      <c r="L285" s="42"/>
      <c r="M285" s="42"/>
    </row>
    <row r="286" spans="1:13" ht="13" x14ac:dyDescent="0.25">
      <c r="A286" s="43"/>
      <c r="B286" s="42"/>
      <c r="C286" s="42"/>
      <c r="D286" s="53"/>
      <c r="E286" s="42"/>
      <c r="F286" s="42"/>
      <c r="G286" s="42"/>
      <c r="H286" s="42"/>
      <c r="I286" s="42"/>
      <c r="J286" s="42"/>
      <c r="K286" s="42"/>
      <c r="L286" s="42"/>
      <c r="M286" s="42"/>
    </row>
    <row r="287" spans="1:13" ht="13" x14ac:dyDescent="0.25">
      <c r="A287" s="43"/>
      <c r="B287" s="42"/>
      <c r="C287" s="42"/>
      <c r="D287" s="53"/>
      <c r="E287" s="42"/>
      <c r="F287" s="42"/>
      <c r="G287" s="42"/>
      <c r="H287" s="42"/>
      <c r="I287" s="42"/>
      <c r="J287" s="42"/>
      <c r="K287" s="42"/>
      <c r="L287" s="42"/>
      <c r="M287" s="42"/>
    </row>
    <row r="288" spans="1:13" ht="13" x14ac:dyDescent="0.25">
      <c r="A288" s="43"/>
      <c r="B288" s="42"/>
      <c r="C288" s="42"/>
      <c r="D288" s="53"/>
      <c r="E288" s="42"/>
      <c r="F288" s="42"/>
      <c r="G288" s="42"/>
      <c r="H288" s="42"/>
      <c r="I288" s="42"/>
      <c r="J288" s="42"/>
      <c r="K288" s="42"/>
      <c r="L288" s="42"/>
      <c r="M288" s="42"/>
    </row>
    <row r="289" spans="1:13" ht="13" x14ac:dyDescent="0.25">
      <c r="A289" s="43"/>
      <c r="B289" s="42"/>
      <c r="C289" s="42"/>
      <c r="D289" s="53"/>
      <c r="E289" s="42"/>
      <c r="F289" s="42"/>
      <c r="G289" s="42"/>
      <c r="H289" s="42"/>
      <c r="I289" s="42"/>
      <c r="J289" s="42"/>
      <c r="K289" s="42"/>
      <c r="L289" s="42"/>
      <c r="M289" s="42"/>
    </row>
    <row r="290" spans="1:13" ht="13" x14ac:dyDescent="0.25">
      <c r="A290" s="43"/>
      <c r="B290" s="42"/>
      <c r="C290" s="42"/>
      <c r="D290" s="53"/>
      <c r="E290" s="42"/>
      <c r="F290" s="42"/>
      <c r="G290" s="42"/>
      <c r="H290" s="42"/>
      <c r="I290" s="42"/>
      <c r="J290" s="42"/>
      <c r="K290" s="42"/>
      <c r="L290" s="42"/>
      <c r="M290" s="42"/>
    </row>
    <row r="291" spans="1:13" ht="13" x14ac:dyDescent="0.25">
      <c r="A291" s="43"/>
      <c r="B291" s="42"/>
      <c r="C291" s="42"/>
      <c r="D291" s="53"/>
      <c r="E291" s="42"/>
      <c r="F291" s="42"/>
      <c r="G291" s="42"/>
      <c r="H291" s="42"/>
      <c r="I291" s="42"/>
      <c r="J291" s="42"/>
      <c r="K291" s="42"/>
      <c r="L291" s="42"/>
      <c r="M291" s="42"/>
    </row>
    <row r="292" spans="1:13" ht="13" x14ac:dyDescent="0.25">
      <c r="A292" s="43"/>
      <c r="B292" s="42"/>
      <c r="C292" s="42"/>
      <c r="D292" s="53"/>
      <c r="E292" s="42"/>
      <c r="F292" s="42"/>
      <c r="G292" s="42"/>
      <c r="H292" s="42"/>
      <c r="I292" s="42"/>
      <c r="J292" s="42"/>
      <c r="K292" s="42"/>
      <c r="L292" s="42"/>
      <c r="M292" s="42"/>
    </row>
    <row r="293" spans="1:13" ht="13" x14ac:dyDescent="0.25">
      <c r="A293" s="43"/>
      <c r="B293" s="42"/>
      <c r="C293" s="42"/>
      <c r="D293" s="53"/>
      <c r="E293" s="42"/>
      <c r="F293" s="42"/>
      <c r="G293" s="42"/>
      <c r="H293" s="42"/>
      <c r="I293" s="42"/>
      <c r="J293" s="42"/>
      <c r="K293" s="42"/>
      <c r="L293" s="42"/>
      <c r="M293" s="42"/>
    </row>
    <row r="294" spans="1:13" ht="13" x14ac:dyDescent="0.25">
      <c r="A294" s="43"/>
      <c r="B294" s="42"/>
      <c r="C294" s="42"/>
      <c r="D294" s="53"/>
      <c r="E294" s="42"/>
      <c r="F294" s="42"/>
      <c r="G294" s="42"/>
      <c r="H294" s="42"/>
      <c r="I294" s="42"/>
      <c r="J294" s="42"/>
      <c r="K294" s="42"/>
      <c r="L294" s="42"/>
      <c r="M294" s="42"/>
    </row>
    <row r="295" spans="1:13" ht="13" x14ac:dyDescent="0.25">
      <c r="A295" s="43"/>
      <c r="B295" s="42"/>
      <c r="C295" s="42"/>
      <c r="D295" s="53"/>
      <c r="E295" s="42"/>
      <c r="F295" s="42"/>
      <c r="G295" s="42"/>
      <c r="H295" s="42"/>
      <c r="I295" s="42"/>
      <c r="J295" s="42"/>
      <c r="K295" s="42"/>
      <c r="L295" s="42"/>
      <c r="M295" s="42"/>
    </row>
    <row r="296" spans="1:13" ht="13" x14ac:dyDescent="0.25">
      <c r="A296" s="43"/>
      <c r="B296" s="42"/>
      <c r="C296" s="42"/>
      <c r="D296" s="53"/>
      <c r="E296" s="42"/>
      <c r="F296" s="42"/>
      <c r="G296" s="42"/>
      <c r="H296" s="42"/>
      <c r="I296" s="42"/>
      <c r="J296" s="42"/>
      <c r="K296" s="42"/>
      <c r="L296" s="42"/>
      <c r="M296" s="42"/>
    </row>
    <row r="297" spans="1:13" ht="13" x14ac:dyDescent="0.25">
      <c r="A297" s="43"/>
      <c r="B297" s="42"/>
      <c r="C297" s="42"/>
      <c r="D297" s="53"/>
      <c r="E297" s="42"/>
      <c r="F297" s="42"/>
      <c r="G297" s="42"/>
      <c r="H297" s="42"/>
      <c r="I297" s="42"/>
      <c r="J297" s="42"/>
      <c r="K297" s="42"/>
      <c r="L297" s="42"/>
      <c r="M297" s="42"/>
    </row>
    <row r="298" spans="1:13" ht="13" x14ac:dyDescent="0.25">
      <c r="A298" s="43"/>
      <c r="B298" s="42"/>
      <c r="C298" s="42"/>
      <c r="D298" s="53"/>
      <c r="E298" s="42"/>
      <c r="F298" s="42"/>
      <c r="G298" s="42"/>
      <c r="H298" s="42"/>
      <c r="I298" s="42"/>
      <c r="J298" s="42"/>
      <c r="K298" s="42"/>
      <c r="L298" s="42"/>
      <c r="M298" s="42"/>
    </row>
    <row r="299" spans="1:13" ht="13" x14ac:dyDescent="0.25">
      <c r="A299" s="43"/>
      <c r="B299" s="42"/>
      <c r="C299" s="42"/>
      <c r="D299" s="53"/>
      <c r="E299" s="42"/>
      <c r="F299" s="42"/>
      <c r="G299" s="42"/>
      <c r="H299" s="42"/>
      <c r="I299" s="42"/>
      <c r="J299" s="42"/>
      <c r="K299" s="42"/>
      <c r="L299" s="42"/>
      <c r="M299" s="42"/>
    </row>
    <row r="300" spans="1:13" ht="13" x14ac:dyDescent="0.25">
      <c r="A300" s="43"/>
      <c r="B300" s="42"/>
      <c r="C300" s="42"/>
      <c r="D300" s="53"/>
      <c r="E300" s="42"/>
      <c r="F300" s="42"/>
      <c r="G300" s="42"/>
      <c r="H300" s="42"/>
      <c r="I300" s="42"/>
      <c r="J300" s="42"/>
      <c r="K300" s="42"/>
      <c r="L300" s="42"/>
      <c r="M300" s="42"/>
    </row>
    <row r="301" spans="1:13" ht="13" x14ac:dyDescent="0.25">
      <c r="A301" s="43"/>
      <c r="B301" s="42"/>
      <c r="C301" s="42"/>
      <c r="D301" s="53"/>
      <c r="E301" s="42"/>
      <c r="F301" s="42"/>
      <c r="G301" s="42"/>
      <c r="H301" s="42"/>
      <c r="I301" s="42"/>
      <c r="J301" s="42"/>
      <c r="K301" s="42"/>
      <c r="L301" s="42"/>
      <c r="M301" s="42"/>
    </row>
    <row r="302" spans="1:13" ht="13" x14ac:dyDescent="0.25">
      <c r="A302" s="43"/>
      <c r="B302" s="42"/>
      <c r="C302" s="42"/>
      <c r="D302" s="53"/>
      <c r="E302" s="42"/>
      <c r="F302" s="42"/>
      <c r="G302" s="42"/>
      <c r="H302" s="42"/>
      <c r="I302" s="42"/>
      <c r="J302" s="42"/>
      <c r="K302" s="42"/>
      <c r="L302" s="42"/>
      <c r="M302" s="42"/>
    </row>
    <row r="303" spans="1:13" ht="13" x14ac:dyDescent="0.3">
      <c r="A303" s="4"/>
      <c r="D303" s="54"/>
    </row>
    <row r="304" spans="1:13" ht="13" x14ac:dyDescent="0.3">
      <c r="A304" s="4"/>
      <c r="D304" s="54"/>
    </row>
    <row r="305" spans="1:4" ht="13" x14ac:dyDescent="0.3">
      <c r="A305" s="4"/>
      <c r="D305" s="54"/>
    </row>
    <row r="306" spans="1:4" ht="13" x14ac:dyDescent="0.3">
      <c r="A306" s="4"/>
      <c r="D306" s="54"/>
    </row>
    <row r="307" spans="1:4" ht="13" x14ac:dyDescent="0.3">
      <c r="A307" s="4"/>
      <c r="D307" s="54"/>
    </row>
    <row r="308" spans="1:4" ht="13" x14ac:dyDescent="0.3">
      <c r="A308" s="4"/>
      <c r="D308" s="54"/>
    </row>
    <row r="309" spans="1:4" ht="13" x14ac:dyDescent="0.3">
      <c r="A309" s="4"/>
      <c r="D309" s="54"/>
    </row>
    <row r="310" spans="1:4" ht="13" x14ac:dyDescent="0.3">
      <c r="A310" s="4"/>
      <c r="D310" s="54"/>
    </row>
    <row r="311" spans="1:4" ht="13" x14ac:dyDescent="0.3">
      <c r="A311" s="4"/>
      <c r="D311" s="54"/>
    </row>
    <row r="312" spans="1:4" ht="13" x14ac:dyDescent="0.3">
      <c r="A312" s="4"/>
      <c r="D312" s="54"/>
    </row>
    <row r="313" spans="1:4" ht="13" x14ac:dyDescent="0.3">
      <c r="A313" s="4"/>
      <c r="D313" s="54"/>
    </row>
    <row r="314" spans="1:4" ht="13" x14ac:dyDescent="0.3">
      <c r="A314" s="4"/>
      <c r="D314" s="54"/>
    </row>
    <row r="315" spans="1:4" ht="13" x14ac:dyDescent="0.3">
      <c r="A315" s="4"/>
      <c r="D315" s="54"/>
    </row>
    <row r="316" spans="1:4" ht="13" x14ac:dyDescent="0.3">
      <c r="A316" s="4"/>
      <c r="D316" s="54"/>
    </row>
    <row r="317" spans="1:4" ht="13" x14ac:dyDescent="0.3">
      <c r="A317" s="4"/>
      <c r="D317" s="54"/>
    </row>
    <row r="318" spans="1:4" ht="13" x14ac:dyDescent="0.3">
      <c r="A318" s="4"/>
      <c r="D318" s="54"/>
    </row>
    <row r="319" spans="1:4" ht="13" x14ac:dyDescent="0.3">
      <c r="A319" s="4"/>
      <c r="D319" s="54"/>
    </row>
    <row r="320" spans="1:4" ht="13" x14ac:dyDescent="0.3">
      <c r="A320" s="4"/>
      <c r="D320" s="54"/>
    </row>
    <row r="321" spans="1:4" ht="13" x14ac:dyDescent="0.3">
      <c r="A321" s="4"/>
      <c r="D321" s="54"/>
    </row>
    <row r="322" spans="1:4" ht="13" x14ac:dyDescent="0.3">
      <c r="A322" s="4"/>
      <c r="D322" s="54"/>
    </row>
    <row r="323" spans="1:4" ht="13" x14ac:dyDescent="0.3">
      <c r="A323" s="4"/>
      <c r="D323" s="54"/>
    </row>
    <row r="324" spans="1:4" ht="13" x14ac:dyDescent="0.3">
      <c r="A324" s="4"/>
      <c r="D324" s="54"/>
    </row>
    <row r="325" spans="1:4" ht="13" x14ac:dyDescent="0.3">
      <c r="A325" s="4"/>
      <c r="D325" s="54"/>
    </row>
    <row r="326" spans="1:4" x14ac:dyDescent="0.25">
      <c r="D326" s="54"/>
    </row>
    <row r="327" spans="1:4" x14ac:dyDescent="0.25">
      <c r="D327" s="54"/>
    </row>
    <row r="328" spans="1:4" x14ac:dyDescent="0.25">
      <c r="D328" s="54"/>
    </row>
    <row r="329" spans="1:4" x14ac:dyDescent="0.25">
      <c r="D329" s="54"/>
    </row>
    <row r="330" spans="1:4" x14ac:dyDescent="0.25">
      <c r="D330" s="54"/>
    </row>
    <row r="331" spans="1:4" x14ac:dyDescent="0.25">
      <c r="D331" s="54"/>
    </row>
    <row r="332" spans="1:4" x14ac:dyDescent="0.25">
      <c r="D332" s="54"/>
    </row>
    <row r="333" spans="1:4" x14ac:dyDescent="0.25">
      <c r="D333" s="54"/>
    </row>
    <row r="334" spans="1:4" x14ac:dyDescent="0.25">
      <c r="D334" s="54"/>
    </row>
    <row r="335" spans="1:4" x14ac:dyDescent="0.25">
      <c r="D335" s="54"/>
    </row>
    <row r="336" spans="1:4" x14ac:dyDescent="0.25">
      <c r="D336" s="54"/>
    </row>
    <row r="337" spans="4:4" x14ac:dyDescent="0.25">
      <c r="D337" s="54"/>
    </row>
    <row r="338" spans="4:4" x14ac:dyDescent="0.25">
      <c r="D338" s="54"/>
    </row>
    <row r="339" spans="4:4" x14ac:dyDescent="0.25">
      <c r="D339" s="54"/>
    </row>
    <row r="340" spans="4:4" x14ac:dyDescent="0.25">
      <c r="D340" s="54"/>
    </row>
    <row r="341" spans="4:4" x14ac:dyDescent="0.25">
      <c r="D341" s="54"/>
    </row>
    <row r="342" spans="4:4" x14ac:dyDescent="0.25">
      <c r="D342" s="54"/>
    </row>
    <row r="343" spans="4:4" x14ac:dyDescent="0.25">
      <c r="D343" s="54"/>
    </row>
    <row r="344" spans="4:4" x14ac:dyDescent="0.25">
      <c r="D344" s="54"/>
    </row>
    <row r="345" spans="4:4" x14ac:dyDescent="0.25">
      <c r="D345" s="54"/>
    </row>
    <row r="346" spans="4:4" x14ac:dyDescent="0.25">
      <c r="D346" s="54"/>
    </row>
    <row r="347" spans="4:4" x14ac:dyDescent="0.25">
      <c r="D347" s="54"/>
    </row>
    <row r="348" spans="4:4" x14ac:dyDescent="0.25">
      <c r="D348" s="54"/>
    </row>
    <row r="349" spans="4:4" x14ac:dyDescent="0.25">
      <c r="D349" s="54"/>
    </row>
    <row r="350" spans="4:4" x14ac:dyDescent="0.25">
      <c r="D350" s="54"/>
    </row>
    <row r="351" spans="4:4" x14ac:dyDescent="0.25">
      <c r="D351" s="54"/>
    </row>
    <row r="352" spans="4:4" x14ac:dyDescent="0.25">
      <c r="D352" s="54"/>
    </row>
    <row r="353" spans="4:4" x14ac:dyDescent="0.25">
      <c r="D353" s="54"/>
    </row>
    <row r="354" spans="4:4" x14ac:dyDescent="0.25">
      <c r="D354" s="54"/>
    </row>
    <row r="355" spans="4:4" x14ac:dyDescent="0.25">
      <c r="D355" s="54"/>
    </row>
    <row r="356" spans="4:4" x14ac:dyDescent="0.25">
      <c r="D356" s="54"/>
    </row>
    <row r="357" spans="4:4" x14ac:dyDescent="0.25">
      <c r="D357" s="54"/>
    </row>
    <row r="358" spans="4:4" x14ac:dyDescent="0.25">
      <c r="D358" s="54"/>
    </row>
    <row r="359" spans="4:4" x14ac:dyDescent="0.25">
      <c r="D359" s="54"/>
    </row>
    <row r="360" spans="4:4" x14ac:dyDescent="0.25">
      <c r="D360" s="54"/>
    </row>
    <row r="361" spans="4:4" x14ac:dyDescent="0.25">
      <c r="D361" s="54"/>
    </row>
    <row r="362" spans="4:4" x14ac:dyDescent="0.25">
      <c r="D362" s="54"/>
    </row>
    <row r="363" spans="4:4" x14ac:dyDescent="0.25">
      <c r="D363" s="54"/>
    </row>
    <row r="364" spans="4:4" x14ac:dyDescent="0.25">
      <c r="D364" s="54"/>
    </row>
    <row r="365" spans="4:4" x14ac:dyDescent="0.25">
      <c r="D365" s="54"/>
    </row>
    <row r="366" spans="4:4" x14ac:dyDescent="0.25">
      <c r="D366" s="54"/>
    </row>
    <row r="367" spans="4:4" x14ac:dyDescent="0.25">
      <c r="D367" s="54"/>
    </row>
    <row r="368" spans="4:4" x14ac:dyDescent="0.25">
      <c r="D368" s="54"/>
    </row>
    <row r="369" spans="4:4" x14ac:dyDescent="0.25">
      <c r="D369" s="54"/>
    </row>
    <row r="370" spans="4:4" x14ac:dyDescent="0.25">
      <c r="D370" s="54"/>
    </row>
    <row r="371" spans="4:4" x14ac:dyDescent="0.25">
      <c r="D371" s="54"/>
    </row>
    <row r="372" spans="4:4" x14ac:dyDescent="0.25">
      <c r="D372" s="54"/>
    </row>
    <row r="373" spans="4:4" x14ac:dyDescent="0.25">
      <c r="D373" s="54"/>
    </row>
    <row r="374" spans="4:4" x14ac:dyDescent="0.25">
      <c r="D374" s="54"/>
    </row>
    <row r="375" spans="4:4" x14ac:dyDescent="0.25">
      <c r="D375" s="54"/>
    </row>
    <row r="376" spans="4:4" x14ac:dyDescent="0.25">
      <c r="D376" s="54"/>
    </row>
    <row r="377" spans="4:4" x14ac:dyDescent="0.25">
      <c r="D377" s="54"/>
    </row>
    <row r="378" spans="4:4" x14ac:dyDescent="0.25">
      <c r="D378" s="54"/>
    </row>
    <row r="379" spans="4:4" x14ac:dyDescent="0.25">
      <c r="D379" s="54"/>
    </row>
    <row r="380" spans="4:4" x14ac:dyDescent="0.25">
      <c r="D380" s="54"/>
    </row>
    <row r="381" spans="4:4" x14ac:dyDescent="0.25">
      <c r="D381" s="54"/>
    </row>
    <row r="382" spans="4:4" x14ac:dyDescent="0.25">
      <c r="D382" s="54"/>
    </row>
    <row r="383" spans="4:4" x14ac:dyDescent="0.25">
      <c r="D383" s="54"/>
    </row>
    <row r="384" spans="4:4" x14ac:dyDescent="0.25">
      <c r="D384" s="54"/>
    </row>
    <row r="385" spans="4:4" x14ac:dyDescent="0.25">
      <c r="D385" s="54"/>
    </row>
    <row r="386" spans="4:4" x14ac:dyDescent="0.25">
      <c r="D386" s="54"/>
    </row>
    <row r="387" spans="4:4" x14ac:dyDescent="0.25">
      <c r="D387" s="54"/>
    </row>
    <row r="388" spans="4:4" x14ac:dyDescent="0.25">
      <c r="D388" s="54"/>
    </row>
    <row r="389" spans="4:4" x14ac:dyDescent="0.25">
      <c r="D389" s="54"/>
    </row>
    <row r="390" spans="4:4" x14ac:dyDescent="0.25">
      <c r="D390" s="54"/>
    </row>
    <row r="391" spans="4:4" x14ac:dyDescent="0.25">
      <c r="D391" s="54"/>
    </row>
    <row r="392" spans="4:4" x14ac:dyDescent="0.25">
      <c r="D392" s="54"/>
    </row>
    <row r="393" spans="4:4" x14ac:dyDescent="0.25">
      <c r="D393" s="54"/>
    </row>
    <row r="394" spans="4:4" x14ac:dyDescent="0.25">
      <c r="D394" s="54"/>
    </row>
    <row r="395" spans="4:4" x14ac:dyDescent="0.25">
      <c r="D395" s="54"/>
    </row>
    <row r="396" spans="4:4" x14ac:dyDescent="0.25">
      <c r="D396" s="54"/>
    </row>
    <row r="397" spans="4:4" x14ac:dyDescent="0.25">
      <c r="D397" s="54"/>
    </row>
    <row r="398" spans="4:4" x14ac:dyDescent="0.25">
      <c r="D398" s="54"/>
    </row>
    <row r="399" spans="4:4" x14ac:dyDescent="0.25">
      <c r="D399" s="54"/>
    </row>
    <row r="400" spans="4:4" x14ac:dyDescent="0.25">
      <c r="D400" s="54"/>
    </row>
    <row r="401" spans="4:4" x14ac:dyDescent="0.25">
      <c r="D401" s="54"/>
    </row>
    <row r="402" spans="4:4" x14ac:dyDescent="0.25">
      <c r="D402" s="54"/>
    </row>
    <row r="403" spans="4:4" x14ac:dyDescent="0.25">
      <c r="D403" s="54"/>
    </row>
    <row r="404" spans="4:4" x14ac:dyDescent="0.25">
      <c r="D404" s="54"/>
    </row>
    <row r="405" spans="4:4" x14ac:dyDescent="0.25">
      <c r="D405" s="54"/>
    </row>
    <row r="406" spans="4:4" x14ac:dyDescent="0.25">
      <c r="D406" s="54"/>
    </row>
    <row r="407" spans="4:4" x14ac:dyDescent="0.25">
      <c r="D407" s="54"/>
    </row>
    <row r="408" spans="4:4" x14ac:dyDescent="0.25">
      <c r="D408" s="54"/>
    </row>
    <row r="409" spans="4:4" x14ac:dyDescent="0.25">
      <c r="D409" s="54"/>
    </row>
    <row r="410" spans="4:4" x14ac:dyDescent="0.25">
      <c r="D410" s="54"/>
    </row>
    <row r="411" spans="4:4" x14ac:dyDescent="0.25">
      <c r="D411" s="54"/>
    </row>
    <row r="412" spans="4:4" x14ac:dyDescent="0.25">
      <c r="D412" s="54"/>
    </row>
    <row r="413" spans="4:4" x14ac:dyDescent="0.25">
      <c r="D413" s="54"/>
    </row>
    <row r="414" spans="4:4" x14ac:dyDescent="0.25">
      <c r="D414" s="54"/>
    </row>
    <row r="415" spans="4:4" x14ac:dyDescent="0.25">
      <c r="D415" s="54"/>
    </row>
    <row r="416" spans="4:4" x14ac:dyDescent="0.25">
      <c r="D416" s="54"/>
    </row>
    <row r="417" spans="4:4" x14ac:dyDescent="0.25">
      <c r="D417" s="54"/>
    </row>
    <row r="418" spans="4:4" x14ac:dyDescent="0.25">
      <c r="D418" s="54"/>
    </row>
    <row r="419" spans="4:4" x14ac:dyDescent="0.25">
      <c r="D419" s="54"/>
    </row>
    <row r="420" spans="4:4" x14ac:dyDescent="0.25">
      <c r="D420" s="54"/>
    </row>
    <row r="421" spans="4:4" x14ac:dyDescent="0.25">
      <c r="D421" s="54"/>
    </row>
    <row r="422" spans="4:4" x14ac:dyDescent="0.25">
      <c r="D422" s="54"/>
    </row>
    <row r="423" spans="4:4" x14ac:dyDescent="0.25">
      <c r="D423" s="54"/>
    </row>
    <row r="424" spans="4:4" x14ac:dyDescent="0.25">
      <c r="D424" s="54"/>
    </row>
    <row r="425" spans="4:4" x14ac:dyDescent="0.25">
      <c r="D425" s="54"/>
    </row>
    <row r="426" spans="4:4" x14ac:dyDescent="0.25">
      <c r="D426" s="54"/>
    </row>
    <row r="427" spans="4:4" x14ac:dyDescent="0.25">
      <c r="D427" s="54"/>
    </row>
    <row r="428" spans="4:4" x14ac:dyDescent="0.25">
      <c r="D428" s="54"/>
    </row>
    <row r="429" spans="4:4" x14ac:dyDescent="0.25">
      <c r="D429" s="54"/>
    </row>
    <row r="430" spans="4:4" x14ac:dyDescent="0.25">
      <c r="D430" s="54"/>
    </row>
    <row r="431" spans="4:4" x14ac:dyDescent="0.25">
      <c r="D431" s="54"/>
    </row>
    <row r="432" spans="4:4" x14ac:dyDescent="0.25">
      <c r="D432" s="54"/>
    </row>
    <row r="433" spans="4:4" x14ac:dyDescent="0.25">
      <c r="D433" s="54"/>
    </row>
    <row r="434" spans="4:4" x14ac:dyDescent="0.25">
      <c r="D434" s="54"/>
    </row>
    <row r="435" spans="4:4" x14ac:dyDescent="0.25">
      <c r="D435" s="54"/>
    </row>
    <row r="436" spans="4:4" x14ac:dyDescent="0.25">
      <c r="D436" s="54"/>
    </row>
    <row r="437" spans="4:4" x14ac:dyDescent="0.25">
      <c r="D437" s="54"/>
    </row>
    <row r="438" spans="4:4" x14ac:dyDescent="0.25">
      <c r="D438" s="54"/>
    </row>
    <row r="439" spans="4:4" x14ac:dyDescent="0.25">
      <c r="D439" s="54"/>
    </row>
    <row r="440" spans="4:4" x14ac:dyDescent="0.25">
      <c r="D440" s="54"/>
    </row>
    <row r="441" spans="4:4" x14ac:dyDescent="0.25">
      <c r="D441" s="54"/>
    </row>
    <row r="442" spans="4:4" x14ac:dyDescent="0.25">
      <c r="D442" s="54"/>
    </row>
    <row r="443" spans="4:4" x14ac:dyDescent="0.25">
      <c r="D443" s="54"/>
    </row>
    <row r="444" spans="4:4" x14ac:dyDescent="0.25">
      <c r="D444" s="54"/>
    </row>
    <row r="445" spans="4:4" x14ac:dyDescent="0.25">
      <c r="D445" s="54"/>
    </row>
    <row r="446" spans="4:4" x14ac:dyDescent="0.25">
      <c r="D446" s="54"/>
    </row>
    <row r="447" spans="4:4" x14ac:dyDescent="0.25">
      <c r="D447" s="54"/>
    </row>
    <row r="448" spans="4:4" x14ac:dyDescent="0.25">
      <c r="D448" s="54"/>
    </row>
    <row r="449" spans="4:4" x14ac:dyDescent="0.25">
      <c r="D449" s="54"/>
    </row>
    <row r="450" spans="4:4" x14ac:dyDescent="0.25">
      <c r="D450" s="54"/>
    </row>
    <row r="451" spans="4:4" x14ac:dyDescent="0.25">
      <c r="D451" s="54"/>
    </row>
    <row r="452" spans="4:4" x14ac:dyDescent="0.25">
      <c r="D452" s="54"/>
    </row>
    <row r="453" spans="4:4" x14ac:dyDescent="0.25">
      <c r="D453" s="54"/>
    </row>
    <row r="454" spans="4:4" x14ac:dyDescent="0.25">
      <c r="D454" s="54"/>
    </row>
    <row r="455" spans="4:4" x14ac:dyDescent="0.25">
      <c r="D455" s="54"/>
    </row>
    <row r="456" spans="4:4" x14ac:dyDescent="0.25">
      <c r="D456" s="54"/>
    </row>
    <row r="457" spans="4:4" x14ac:dyDescent="0.25">
      <c r="D457" s="54"/>
    </row>
    <row r="458" spans="4:4" x14ac:dyDescent="0.25">
      <c r="D458" s="54"/>
    </row>
    <row r="459" spans="4:4" x14ac:dyDescent="0.25">
      <c r="D459" s="54"/>
    </row>
    <row r="460" spans="4:4" x14ac:dyDescent="0.25">
      <c r="D460" s="54"/>
    </row>
    <row r="461" spans="4:4" x14ac:dyDescent="0.25">
      <c r="D461" s="54"/>
    </row>
    <row r="462" spans="4:4" x14ac:dyDescent="0.25">
      <c r="D462" s="54"/>
    </row>
    <row r="463" spans="4:4" x14ac:dyDescent="0.25">
      <c r="D463" s="54"/>
    </row>
    <row r="464" spans="4:4" x14ac:dyDescent="0.25">
      <c r="D464" s="54"/>
    </row>
    <row r="465" spans="4:4" x14ac:dyDescent="0.25">
      <c r="D465" s="54"/>
    </row>
    <row r="466" spans="4:4" x14ac:dyDescent="0.25">
      <c r="D466" s="54"/>
    </row>
    <row r="467" spans="4:4" x14ac:dyDescent="0.25">
      <c r="D467" s="54"/>
    </row>
    <row r="468" spans="4:4" x14ac:dyDescent="0.25">
      <c r="D468" s="54"/>
    </row>
    <row r="469" spans="4:4" x14ac:dyDescent="0.25">
      <c r="D469" s="54"/>
    </row>
    <row r="470" spans="4:4" x14ac:dyDescent="0.25">
      <c r="D470" s="54"/>
    </row>
    <row r="471" spans="4:4" x14ac:dyDescent="0.25">
      <c r="D471" s="54"/>
    </row>
    <row r="472" spans="4:4" x14ac:dyDescent="0.25">
      <c r="D472" s="54"/>
    </row>
    <row r="473" spans="4:4" x14ac:dyDescent="0.25">
      <c r="D473" s="54"/>
    </row>
    <row r="474" spans="4:4" x14ac:dyDescent="0.25">
      <c r="D474" s="54"/>
    </row>
    <row r="475" spans="4:4" x14ac:dyDescent="0.25">
      <c r="D475" s="54"/>
    </row>
    <row r="476" spans="4:4" x14ac:dyDescent="0.25">
      <c r="D476" s="54"/>
    </row>
    <row r="477" spans="4:4" x14ac:dyDescent="0.25">
      <c r="D477" s="54"/>
    </row>
    <row r="478" spans="4:4" x14ac:dyDescent="0.25">
      <c r="D478" s="54"/>
    </row>
    <row r="479" spans="4:4" x14ac:dyDescent="0.25">
      <c r="D479" s="54"/>
    </row>
    <row r="480" spans="4:4" x14ac:dyDescent="0.25">
      <c r="D480" s="54"/>
    </row>
    <row r="481" spans="4:4" x14ac:dyDescent="0.25">
      <c r="D481" s="54"/>
    </row>
    <row r="482" spans="4:4" x14ac:dyDescent="0.25">
      <c r="D482" s="54"/>
    </row>
    <row r="483" spans="4:4" x14ac:dyDescent="0.25">
      <c r="D483" s="54"/>
    </row>
    <row r="484" spans="4:4" x14ac:dyDescent="0.25">
      <c r="D484" s="54"/>
    </row>
    <row r="485" spans="4:4" x14ac:dyDescent="0.25">
      <c r="D485" s="54"/>
    </row>
    <row r="486" spans="4:4" x14ac:dyDescent="0.25">
      <c r="D486" s="54"/>
    </row>
    <row r="487" spans="4:4" x14ac:dyDescent="0.25">
      <c r="D487" s="54"/>
    </row>
    <row r="488" spans="4:4" x14ac:dyDescent="0.25">
      <c r="D488" s="54"/>
    </row>
    <row r="489" spans="4:4" x14ac:dyDescent="0.25">
      <c r="D489" s="54"/>
    </row>
    <row r="490" spans="4:4" x14ac:dyDescent="0.25">
      <c r="D490" s="54"/>
    </row>
    <row r="491" spans="4:4" x14ac:dyDescent="0.25">
      <c r="D491" s="54"/>
    </row>
    <row r="492" spans="4:4" x14ac:dyDescent="0.25">
      <c r="D492" s="54"/>
    </row>
    <row r="493" spans="4:4" x14ac:dyDescent="0.25">
      <c r="D493" s="54"/>
    </row>
    <row r="494" spans="4:4" x14ac:dyDescent="0.25">
      <c r="D494" s="54"/>
    </row>
    <row r="495" spans="4:4" x14ac:dyDescent="0.25">
      <c r="D495" s="54"/>
    </row>
    <row r="496" spans="4:4" x14ac:dyDescent="0.25">
      <c r="D496" s="54"/>
    </row>
    <row r="497" spans="4:4" x14ac:dyDescent="0.25">
      <c r="D497" s="54"/>
    </row>
    <row r="498" spans="4:4" x14ac:dyDescent="0.25">
      <c r="D498" s="54"/>
    </row>
    <row r="499" spans="4:4" x14ac:dyDescent="0.25">
      <c r="D499" s="54"/>
    </row>
    <row r="500" spans="4:4" x14ac:dyDescent="0.25">
      <c r="D500" s="54"/>
    </row>
    <row r="501" spans="4:4" x14ac:dyDescent="0.25">
      <c r="D501" s="54"/>
    </row>
    <row r="502" spans="4:4" x14ac:dyDescent="0.25">
      <c r="D502" s="54"/>
    </row>
    <row r="503" spans="4:4" x14ac:dyDescent="0.25">
      <c r="D503" s="54"/>
    </row>
    <row r="504" spans="4:4" x14ac:dyDescent="0.25">
      <c r="D504" s="54"/>
    </row>
    <row r="505" spans="4:4" x14ac:dyDescent="0.25">
      <c r="D505" s="54"/>
    </row>
    <row r="506" spans="4:4" x14ac:dyDescent="0.25">
      <c r="D506" s="54"/>
    </row>
    <row r="507" spans="4:4" x14ac:dyDescent="0.25">
      <c r="D507" s="54"/>
    </row>
    <row r="508" spans="4:4" x14ac:dyDescent="0.25">
      <c r="D508" s="54"/>
    </row>
    <row r="509" spans="4:4" x14ac:dyDescent="0.25">
      <c r="D509" s="54"/>
    </row>
    <row r="510" spans="4:4" x14ac:dyDescent="0.25">
      <c r="D510" s="54"/>
    </row>
    <row r="511" spans="4:4" x14ac:dyDescent="0.25">
      <c r="D511" s="54"/>
    </row>
    <row r="512" spans="4:4" x14ac:dyDescent="0.25">
      <c r="D512" s="54"/>
    </row>
    <row r="513" spans="4:4" x14ac:dyDescent="0.25">
      <c r="D513" s="54"/>
    </row>
    <row r="514" spans="4:4" x14ac:dyDescent="0.25">
      <c r="D514" s="54"/>
    </row>
    <row r="515" spans="4:4" x14ac:dyDescent="0.25">
      <c r="D515" s="54"/>
    </row>
  </sheetData>
  <mergeCells count="1">
    <mergeCell ref="C1:L4"/>
  </mergeCells>
  <phoneticPr fontId="0" type="noConversion"/>
  <pageMargins left="0.75" right="0.75" top="0.61" bottom="0.4" header="0.19" footer="0.17"/>
  <pageSetup orientation="landscape" r:id="rId1"/>
  <headerFooter alignWithMargins="0">
    <oddHeader>&amp;R&amp;G</oddHeader>
    <oddFooter>&amp;LTest Case Specification and Tracking Sheet – ISL VAL T03             Ver 1.7               Confidential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 summaryRight="0"/>
  </sheetPr>
  <dimension ref="A1:IR699"/>
  <sheetViews>
    <sheetView showZeros="0" tabSelected="1" zoomScaleNormal="100" workbookViewId="0">
      <selection sqref="A1:A4"/>
    </sheetView>
  </sheetViews>
  <sheetFormatPr defaultRowHeight="12.5" outlineLevelRow="1" x14ac:dyDescent="0.25"/>
  <cols>
    <col min="1" max="1" width="22.7265625" customWidth="1"/>
    <col min="2" max="2" width="20" customWidth="1"/>
    <col min="3" max="3" width="26.26953125" customWidth="1"/>
    <col min="4" max="4" width="21.7265625" customWidth="1"/>
    <col min="5" max="5" width="20.26953125" customWidth="1"/>
    <col min="6" max="6" width="14.26953125" customWidth="1"/>
    <col min="7" max="7" width="18" customWidth="1"/>
    <col min="8" max="8" width="17.54296875" customWidth="1"/>
    <col min="9" max="9" width="12" customWidth="1"/>
    <col min="10" max="10" width="10.453125" customWidth="1"/>
    <col min="145" max="251" width="9.26953125" style="2" customWidth="1"/>
  </cols>
  <sheetData>
    <row r="1" spans="1:227" s="11" customFormat="1" ht="20.25" customHeight="1" x14ac:dyDescent="0.25">
      <c r="A1" s="134"/>
      <c r="B1" s="82" t="s">
        <v>16</v>
      </c>
      <c r="C1" s="86" t="e">
        <f>VLOOKUP("%Pass", G11:AY11, (COUNTA($G$8:$AZ$8)), FALSE)</f>
        <v>#DIV/0!</v>
      </c>
      <c r="D1" s="31" t="s">
        <v>33</v>
      </c>
      <c r="E1" s="90" t="s">
        <v>86</v>
      </c>
      <c r="F1" s="136"/>
      <c r="G1" s="73" t="s">
        <v>5</v>
      </c>
      <c r="H1" s="56" t="s">
        <v>83</v>
      </c>
      <c r="I1" s="56" t="s">
        <v>83</v>
      </c>
      <c r="J1" s="56"/>
      <c r="K1" s="56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8"/>
      <c r="AI1" s="58"/>
      <c r="AJ1" s="58"/>
      <c r="AK1" s="58"/>
      <c r="AL1" s="58"/>
      <c r="AM1" s="58"/>
      <c r="AN1" s="58"/>
      <c r="AO1" s="58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</row>
    <row r="2" spans="1:227" s="11" customFormat="1" ht="20.25" customHeight="1" x14ac:dyDescent="0.3">
      <c r="A2" s="135"/>
      <c r="B2" s="83" t="s">
        <v>15</v>
      </c>
      <c r="C2" s="87" t="e">
        <f>VLOOKUP("%Fail", G12:AY12, (COUNTA($G$8:$AZ$8)), FALSE)</f>
        <v>#DIV/0!</v>
      </c>
      <c r="D2" s="32" t="s">
        <v>34</v>
      </c>
      <c r="E2" s="91" t="s">
        <v>81</v>
      </c>
      <c r="F2" s="137"/>
      <c r="G2" s="74" t="s">
        <v>6</v>
      </c>
      <c r="H2" s="61" t="s">
        <v>14</v>
      </c>
      <c r="I2" s="61" t="s">
        <v>14</v>
      </c>
      <c r="J2" s="61"/>
      <c r="K2" s="61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</row>
    <row r="3" spans="1:227" s="11" customFormat="1" ht="21" customHeight="1" thickBot="1" x14ac:dyDescent="0.35">
      <c r="A3" s="135"/>
      <c r="B3" s="84" t="s">
        <v>27</v>
      </c>
      <c r="C3" s="88" t="e">
        <f>VLOOKUP("%Blocked", G13:AY13, (COUNTA($G$8:$AZ$8)), FALSE)</f>
        <v>#DIV/0!</v>
      </c>
      <c r="D3" s="32" t="s">
        <v>35</v>
      </c>
      <c r="E3" s="92" t="s">
        <v>79</v>
      </c>
      <c r="F3" s="137"/>
      <c r="G3" s="74" t="s">
        <v>7</v>
      </c>
      <c r="H3" s="61" t="s">
        <v>84</v>
      </c>
      <c r="I3" s="61" t="s">
        <v>84</v>
      </c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</row>
    <row r="4" spans="1:227" s="12" customFormat="1" ht="21" customHeight="1" thickBot="1" x14ac:dyDescent="0.35">
      <c r="A4" s="135"/>
      <c r="B4" s="85" t="s">
        <v>32</v>
      </c>
      <c r="C4" s="89" t="e">
        <f>VLOOKUP("%Not Run", G14:AY14, (COUNTA($G$8:$AZ$8)), FALSE)</f>
        <v>#DIV/0!</v>
      </c>
      <c r="D4" s="33" t="s">
        <v>36</v>
      </c>
      <c r="E4" s="92" t="s">
        <v>79</v>
      </c>
      <c r="F4" s="137"/>
      <c r="G4" s="74" t="s">
        <v>18</v>
      </c>
      <c r="H4" s="61" t="s">
        <v>85</v>
      </c>
      <c r="I4" s="61" t="s">
        <v>85</v>
      </c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</row>
    <row r="5" spans="1:227" s="12" customFormat="1" ht="23.25" customHeight="1" x14ac:dyDescent="0.3">
      <c r="A5" s="138" t="s">
        <v>69</v>
      </c>
      <c r="B5" s="139"/>
      <c r="C5" s="139"/>
      <c r="D5" s="139"/>
      <c r="E5" s="139"/>
      <c r="F5" s="140"/>
      <c r="G5" s="75" t="s">
        <v>17</v>
      </c>
      <c r="H5" s="61" t="s">
        <v>87</v>
      </c>
      <c r="I5" s="61" t="s">
        <v>87</v>
      </c>
      <c r="J5" s="61"/>
      <c r="K5" s="61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</row>
    <row r="6" spans="1:227" s="12" customFormat="1" ht="23.25" customHeight="1" x14ac:dyDescent="0.3">
      <c r="A6" s="141" t="s">
        <v>37</v>
      </c>
      <c r="B6" s="135"/>
      <c r="C6" s="135"/>
      <c r="D6" s="135"/>
      <c r="E6" s="135"/>
      <c r="F6" s="142"/>
      <c r="G6" s="75" t="s">
        <v>22</v>
      </c>
      <c r="H6" s="61" t="s">
        <v>82</v>
      </c>
      <c r="I6" s="61" t="s">
        <v>82</v>
      </c>
      <c r="J6" s="61"/>
      <c r="K6" s="61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</row>
    <row r="7" spans="1:227" s="12" customFormat="1" ht="15.75" customHeight="1" x14ac:dyDescent="0.3">
      <c r="A7" s="135"/>
      <c r="B7" s="135"/>
      <c r="C7" s="135"/>
      <c r="D7" s="135"/>
      <c r="E7" s="135"/>
      <c r="F7" s="142"/>
      <c r="G7" s="75" t="s">
        <v>8</v>
      </c>
      <c r="H7" s="64">
        <v>0.1</v>
      </c>
      <c r="I7" s="64">
        <v>1</v>
      </c>
      <c r="J7" s="64"/>
      <c r="K7" s="64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3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</row>
    <row r="8" spans="1:227" s="12" customFormat="1" ht="15.75" customHeight="1" x14ac:dyDescent="0.3">
      <c r="A8" s="135"/>
      <c r="B8" s="135"/>
      <c r="C8" s="135"/>
      <c r="D8" s="135"/>
      <c r="E8" s="135"/>
      <c r="F8" s="142"/>
      <c r="G8" s="76" t="s">
        <v>23</v>
      </c>
      <c r="H8" s="67">
        <v>46189</v>
      </c>
      <c r="I8" s="67">
        <v>46206</v>
      </c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70"/>
      <c r="CR8" s="70"/>
      <c r="CS8" s="70"/>
      <c r="CT8" s="70"/>
      <c r="CU8" s="70"/>
      <c r="CV8" s="70"/>
      <c r="CW8" s="71"/>
      <c r="CX8" s="71"/>
      <c r="CY8" s="71"/>
      <c r="CZ8" s="71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</row>
    <row r="9" spans="1:227" s="12" customFormat="1" ht="15.75" customHeight="1" x14ac:dyDescent="0.3">
      <c r="A9" s="135"/>
      <c r="B9" s="135"/>
      <c r="C9" s="135"/>
      <c r="D9" s="135"/>
      <c r="E9" s="135"/>
      <c r="F9" s="142"/>
      <c r="G9" s="75" t="s">
        <v>19</v>
      </c>
      <c r="H9" s="64">
        <v>4</v>
      </c>
      <c r="I9" s="64">
        <v>4</v>
      </c>
      <c r="J9" s="64"/>
      <c r="K9" s="64"/>
      <c r="L9" s="64"/>
      <c r="M9" s="64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3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</row>
    <row r="10" spans="1:227" s="12" customFormat="1" ht="15.75" customHeight="1" x14ac:dyDescent="0.3">
      <c r="A10" s="135"/>
      <c r="B10" s="135"/>
      <c r="C10" s="135"/>
      <c r="D10" s="135"/>
      <c r="E10" s="135"/>
      <c r="F10" s="142"/>
      <c r="G10" s="75" t="s">
        <v>40</v>
      </c>
      <c r="H10" s="64"/>
      <c r="I10" s="64"/>
      <c r="J10" s="64"/>
      <c r="K10" s="64"/>
      <c r="L10" s="64"/>
      <c r="M10" s="64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3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</row>
    <row r="11" spans="1:227" s="12" customFormat="1" ht="21.75" customHeight="1" x14ac:dyDescent="0.25">
      <c r="A11" s="135"/>
      <c r="B11" s="135"/>
      <c r="C11" s="135"/>
      <c r="D11" s="135"/>
      <c r="E11" s="135"/>
      <c r="F11" s="142"/>
      <c r="G11" s="75" t="s">
        <v>24</v>
      </c>
      <c r="H11" s="72" t="e">
        <f>COUNTIF(H21:H33,"=Pass")/COUNTA(H21:H32)</f>
        <v>#DIV/0!</v>
      </c>
      <c r="I11" s="72" t="e">
        <f>COUNTIF(I21:I33,"=Pass")/SUM(I15:I18)</f>
        <v>#DIV/0!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  <c r="CI11" s="72"/>
      <c r="CJ11" s="72"/>
      <c r="CK11" s="72"/>
      <c r="CL11" s="72"/>
      <c r="CM11" s="72"/>
      <c r="CN11" s="72"/>
      <c r="CO11" s="72"/>
      <c r="CP11" s="72"/>
      <c r="CQ11" s="72"/>
      <c r="CR11" s="72"/>
      <c r="CS11" s="72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</row>
    <row r="12" spans="1:227" s="12" customFormat="1" ht="21.75" customHeight="1" x14ac:dyDescent="0.3">
      <c r="A12" s="135"/>
      <c r="B12" s="135"/>
      <c r="C12" s="135"/>
      <c r="D12" s="135"/>
      <c r="E12" s="135"/>
      <c r="F12" s="142"/>
      <c r="G12" s="75" t="s">
        <v>25</v>
      </c>
      <c r="H12" s="72" t="e">
        <f>COUNTIF(H21:H33,"=Fail")/COUNTA(H21:H32)</f>
        <v>#DIV/0!</v>
      </c>
      <c r="I12" s="72" t="e">
        <f>COUNTIF(I21:I33,"=Fail")/COUNTA(I21:I32)</f>
        <v>#DIV/0!</v>
      </c>
      <c r="J12" s="72">
        <f t="shared" ref="J12:AI12" si="0">COUNTIF(J21:J33,"=Fail")/ROWS(J22:J33)</f>
        <v>0</v>
      </c>
      <c r="K12" s="72">
        <f t="shared" si="0"/>
        <v>0</v>
      </c>
      <c r="L12" s="72">
        <f t="shared" si="0"/>
        <v>0</v>
      </c>
      <c r="M12" s="72">
        <f t="shared" si="0"/>
        <v>0</v>
      </c>
      <c r="N12" s="72">
        <f t="shared" si="0"/>
        <v>0</v>
      </c>
      <c r="O12" s="72">
        <f t="shared" si="0"/>
        <v>0</v>
      </c>
      <c r="P12" s="72">
        <f t="shared" si="0"/>
        <v>0</v>
      </c>
      <c r="Q12" s="72">
        <f t="shared" si="0"/>
        <v>0</v>
      </c>
      <c r="R12" s="72">
        <f t="shared" si="0"/>
        <v>0</v>
      </c>
      <c r="S12" s="72">
        <f t="shared" si="0"/>
        <v>0</v>
      </c>
      <c r="T12" s="72">
        <f t="shared" si="0"/>
        <v>0</v>
      </c>
      <c r="U12" s="72">
        <f t="shared" si="0"/>
        <v>0</v>
      </c>
      <c r="V12" s="72">
        <f t="shared" si="0"/>
        <v>0</v>
      </c>
      <c r="W12" s="72">
        <f t="shared" si="0"/>
        <v>0</v>
      </c>
      <c r="X12" s="72">
        <f t="shared" si="0"/>
        <v>0</v>
      </c>
      <c r="Y12" s="72">
        <f t="shared" si="0"/>
        <v>0</v>
      </c>
      <c r="Z12" s="72">
        <f t="shared" si="0"/>
        <v>0</v>
      </c>
      <c r="AA12" s="72">
        <f t="shared" si="0"/>
        <v>0</v>
      </c>
      <c r="AB12" s="72">
        <f t="shared" si="0"/>
        <v>0</v>
      </c>
      <c r="AC12" s="72">
        <f t="shared" si="0"/>
        <v>0</v>
      </c>
      <c r="AD12" s="72">
        <f t="shared" si="0"/>
        <v>0</v>
      </c>
      <c r="AE12" s="72">
        <f t="shared" si="0"/>
        <v>0</v>
      </c>
      <c r="AF12" s="72">
        <f t="shared" si="0"/>
        <v>0</v>
      </c>
      <c r="AG12" s="72">
        <f t="shared" si="0"/>
        <v>0</v>
      </c>
      <c r="AH12" s="72">
        <f t="shared" si="0"/>
        <v>0</v>
      </c>
      <c r="AI12" s="72">
        <f t="shared" si="0"/>
        <v>0</v>
      </c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3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</row>
    <row r="13" spans="1:227" s="12" customFormat="1" ht="21.75" customHeight="1" x14ac:dyDescent="0.3">
      <c r="A13" s="135"/>
      <c r="B13" s="135"/>
      <c r="C13" s="135"/>
      <c r="D13" s="135"/>
      <c r="E13" s="135"/>
      <c r="F13" s="142"/>
      <c r="G13" s="75" t="s">
        <v>26</v>
      </c>
      <c r="H13" s="72" t="e">
        <f>COUNTIF(H21:H33,"=Blocked")/COUNTA(H21:H32)</f>
        <v>#DIV/0!</v>
      </c>
      <c r="I13" s="72" t="e">
        <f>COUNTIF(I21:I33,"=Blocked")/COUNTA(I21:I32)</f>
        <v>#DIV/0!</v>
      </c>
      <c r="J13" s="72">
        <f t="shared" ref="J13:AI13" si="1">COUNTIF(J21:J33,"=Blocked")/ROWS(J22:J33)</f>
        <v>0</v>
      </c>
      <c r="K13" s="72">
        <f t="shared" si="1"/>
        <v>0</v>
      </c>
      <c r="L13" s="72">
        <f t="shared" si="1"/>
        <v>0</v>
      </c>
      <c r="M13" s="72">
        <f t="shared" si="1"/>
        <v>0</v>
      </c>
      <c r="N13" s="72">
        <f t="shared" si="1"/>
        <v>0</v>
      </c>
      <c r="O13" s="72">
        <f t="shared" si="1"/>
        <v>0</v>
      </c>
      <c r="P13" s="72">
        <f t="shared" si="1"/>
        <v>0</v>
      </c>
      <c r="Q13" s="72">
        <f t="shared" si="1"/>
        <v>0</v>
      </c>
      <c r="R13" s="72">
        <f t="shared" si="1"/>
        <v>0</v>
      </c>
      <c r="S13" s="72">
        <f t="shared" si="1"/>
        <v>0</v>
      </c>
      <c r="T13" s="72">
        <f t="shared" si="1"/>
        <v>0</v>
      </c>
      <c r="U13" s="72">
        <f t="shared" si="1"/>
        <v>0</v>
      </c>
      <c r="V13" s="72">
        <f t="shared" si="1"/>
        <v>0</v>
      </c>
      <c r="W13" s="72">
        <f t="shared" si="1"/>
        <v>0</v>
      </c>
      <c r="X13" s="72">
        <f t="shared" si="1"/>
        <v>0</v>
      </c>
      <c r="Y13" s="72">
        <f t="shared" si="1"/>
        <v>0</v>
      </c>
      <c r="Z13" s="72">
        <f t="shared" si="1"/>
        <v>0</v>
      </c>
      <c r="AA13" s="72">
        <f t="shared" si="1"/>
        <v>0</v>
      </c>
      <c r="AB13" s="72">
        <f t="shared" si="1"/>
        <v>0</v>
      </c>
      <c r="AC13" s="72">
        <f t="shared" si="1"/>
        <v>0</v>
      </c>
      <c r="AD13" s="72">
        <f t="shared" si="1"/>
        <v>0</v>
      </c>
      <c r="AE13" s="72">
        <f t="shared" si="1"/>
        <v>0</v>
      </c>
      <c r="AF13" s="72">
        <f t="shared" si="1"/>
        <v>0</v>
      </c>
      <c r="AG13" s="72">
        <f t="shared" si="1"/>
        <v>0</v>
      </c>
      <c r="AH13" s="72">
        <f t="shared" si="1"/>
        <v>0</v>
      </c>
      <c r="AI13" s="72">
        <f t="shared" si="1"/>
        <v>0</v>
      </c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3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</row>
    <row r="14" spans="1:227" s="12" customFormat="1" ht="21.75" customHeight="1" collapsed="1" x14ac:dyDescent="0.3">
      <c r="A14" s="135"/>
      <c r="B14" s="135"/>
      <c r="C14" s="135"/>
      <c r="D14" s="135"/>
      <c r="E14" s="135"/>
      <c r="F14" s="142"/>
      <c r="G14" s="75" t="s">
        <v>38</v>
      </c>
      <c r="H14" s="72" t="e">
        <f>COUNTIF(H21:H33,"=Not Run")/COUNTA(H21:H32)</f>
        <v>#DIV/0!</v>
      </c>
      <c r="I14" s="72" t="e">
        <f>COUNTIF(I21:I33,"=Not Run")/COUNTA(I21:I32)</f>
        <v>#DIV/0!</v>
      </c>
      <c r="J14" s="72">
        <f t="shared" ref="J14:AI14" si="2">COUNTIF(J21:J33,"=Not Run")/ROWS(J22:J33)</f>
        <v>0</v>
      </c>
      <c r="K14" s="72">
        <f t="shared" si="2"/>
        <v>0</v>
      </c>
      <c r="L14" s="72">
        <f t="shared" si="2"/>
        <v>0</v>
      </c>
      <c r="M14" s="72">
        <f t="shared" si="2"/>
        <v>0</v>
      </c>
      <c r="N14" s="72">
        <f t="shared" si="2"/>
        <v>0</v>
      </c>
      <c r="O14" s="72">
        <f t="shared" si="2"/>
        <v>0</v>
      </c>
      <c r="P14" s="72">
        <f t="shared" si="2"/>
        <v>0</v>
      </c>
      <c r="Q14" s="72">
        <f t="shared" si="2"/>
        <v>0</v>
      </c>
      <c r="R14" s="72">
        <f t="shared" si="2"/>
        <v>0</v>
      </c>
      <c r="S14" s="72">
        <f t="shared" si="2"/>
        <v>0</v>
      </c>
      <c r="T14" s="72">
        <f t="shared" si="2"/>
        <v>0</v>
      </c>
      <c r="U14" s="72">
        <f t="shared" si="2"/>
        <v>0</v>
      </c>
      <c r="V14" s="72">
        <f t="shared" si="2"/>
        <v>0</v>
      </c>
      <c r="W14" s="72">
        <f t="shared" si="2"/>
        <v>0</v>
      </c>
      <c r="X14" s="72">
        <f t="shared" si="2"/>
        <v>0</v>
      </c>
      <c r="Y14" s="72">
        <f t="shared" si="2"/>
        <v>0</v>
      </c>
      <c r="Z14" s="72">
        <f t="shared" si="2"/>
        <v>0</v>
      </c>
      <c r="AA14" s="72">
        <f t="shared" si="2"/>
        <v>0</v>
      </c>
      <c r="AB14" s="72">
        <f t="shared" si="2"/>
        <v>0</v>
      </c>
      <c r="AC14" s="72">
        <f t="shared" si="2"/>
        <v>0</v>
      </c>
      <c r="AD14" s="72">
        <f t="shared" si="2"/>
        <v>0</v>
      </c>
      <c r="AE14" s="72">
        <f t="shared" si="2"/>
        <v>0</v>
      </c>
      <c r="AF14" s="72">
        <f t="shared" si="2"/>
        <v>0</v>
      </c>
      <c r="AG14" s="72">
        <f t="shared" si="2"/>
        <v>0</v>
      </c>
      <c r="AH14" s="72">
        <f t="shared" si="2"/>
        <v>0</v>
      </c>
      <c r="AI14" s="72">
        <f t="shared" si="2"/>
        <v>0</v>
      </c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3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</row>
    <row r="15" spans="1:227" s="12" customFormat="1" ht="21.75" hidden="1" customHeight="1" outlineLevel="1" x14ac:dyDescent="0.3">
      <c r="A15" s="93"/>
      <c r="B15" s="93"/>
      <c r="C15" s="93"/>
      <c r="D15" s="93"/>
      <c r="E15" s="93"/>
      <c r="F15" s="94"/>
      <c r="G15" s="81" t="s">
        <v>16</v>
      </c>
      <c r="H15" s="77">
        <f t="shared" ref="H15:AI15" si="3">COUNTIF(H21:H33, "=Pass")</f>
        <v>0</v>
      </c>
      <c r="I15" s="77">
        <f t="shared" si="3"/>
        <v>0</v>
      </c>
      <c r="J15" s="77">
        <f t="shared" si="3"/>
        <v>0</v>
      </c>
      <c r="K15" s="77">
        <f t="shared" si="3"/>
        <v>0</v>
      </c>
      <c r="L15" s="77">
        <f t="shared" si="3"/>
        <v>0</v>
      </c>
      <c r="M15" s="77">
        <f t="shared" si="3"/>
        <v>0</v>
      </c>
      <c r="N15" s="77">
        <f t="shared" si="3"/>
        <v>0</v>
      </c>
      <c r="O15" s="77">
        <f t="shared" si="3"/>
        <v>0</v>
      </c>
      <c r="P15" s="77">
        <f t="shared" si="3"/>
        <v>0</v>
      </c>
      <c r="Q15" s="77">
        <f t="shared" si="3"/>
        <v>0</v>
      </c>
      <c r="R15" s="77">
        <f t="shared" si="3"/>
        <v>0</v>
      </c>
      <c r="S15" s="77">
        <f t="shared" si="3"/>
        <v>0</v>
      </c>
      <c r="T15" s="77">
        <f t="shared" si="3"/>
        <v>0</v>
      </c>
      <c r="U15" s="77">
        <f t="shared" si="3"/>
        <v>0</v>
      </c>
      <c r="V15" s="77">
        <f t="shared" si="3"/>
        <v>0</v>
      </c>
      <c r="W15" s="77">
        <f t="shared" si="3"/>
        <v>0</v>
      </c>
      <c r="X15" s="77">
        <f t="shared" si="3"/>
        <v>0</v>
      </c>
      <c r="Y15" s="77">
        <f t="shared" si="3"/>
        <v>0</v>
      </c>
      <c r="Z15" s="77">
        <f t="shared" si="3"/>
        <v>0</v>
      </c>
      <c r="AA15" s="77">
        <f t="shared" si="3"/>
        <v>0</v>
      </c>
      <c r="AB15" s="77">
        <f t="shared" si="3"/>
        <v>0</v>
      </c>
      <c r="AC15" s="77">
        <f t="shared" si="3"/>
        <v>0</v>
      </c>
      <c r="AD15" s="77">
        <f t="shared" si="3"/>
        <v>0</v>
      </c>
      <c r="AE15" s="77">
        <f t="shared" si="3"/>
        <v>0</v>
      </c>
      <c r="AF15" s="77">
        <f t="shared" si="3"/>
        <v>0</v>
      </c>
      <c r="AG15" s="77">
        <f t="shared" si="3"/>
        <v>0</v>
      </c>
      <c r="AH15" s="77">
        <f t="shared" si="3"/>
        <v>0</v>
      </c>
      <c r="AI15" s="77">
        <f t="shared" si="3"/>
        <v>0</v>
      </c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9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S15" s="80"/>
      <c r="DT15" s="80"/>
      <c r="DU15" s="80"/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Q15" s="80"/>
      <c r="ER15" s="80"/>
      <c r="ES15" s="80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</row>
    <row r="16" spans="1:227" s="12" customFormat="1" ht="21.75" hidden="1" customHeight="1" outlineLevel="1" x14ac:dyDescent="0.3">
      <c r="A16" s="93"/>
      <c r="B16" s="93"/>
      <c r="C16" s="93"/>
      <c r="D16" s="93"/>
      <c r="E16" s="93"/>
      <c r="F16" s="94"/>
      <c r="G16" s="75" t="s">
        <v>15</v>
      </c>
      <c r="H16" s="77">
        <f t="shared" ref="H16:AI16" si="4">COUNTIF(H21:H33, "=Fail")</f>
        <v>0</v>
      </c>
      <c r="I16" s="77">
        <f t="shared" si="4"/>
        <v>0</v>
      </c>
      <c r="J16" s="77">
        <f t="shared" si="4"/>
        <v>0</v>
      </c>
      <c r="K16" s="77">
        <f t="shared" si="4"/>
        <v>0</v>
      </c>
      <c r="L16" s="77">
        <f t="shared" si="4"/>
        <v>0</v>
      </c>
      <c r="M16" s="77">
        <f t="shared" si="4"/>
        <v>0</v>
      </c>
      <c r="N16" s="77">
        <f t="shared" si="4"/>
        <v>0</v>
      </c>
      <c r="O16" s="77">
        <f t="shared" si="4"/>
        <v>0</v>
      </c>
      <c r="P16" s="77">
        <f t="shared" si="4"/>
        <v>0</v>
      </c>
      <c r="Q16" s="77">
        <f t="shared" si="4"/>
        <v>0</v>
      </c>
      <c r="R16" s="77">
        <f t="shared" si="4"/>
        <v>0</v>
      </c>
      <c r="S16" s="77">
        <f t="shared" si="4"/>
        <v>0</v>
      </c>
      <c r="T16" s="77">
        <f t="shared" si="4"/>
        <v>0</v>
      </c>
      <c r="U16" s="77">
        <f t="shared" si="4"/>
        <v>0</v>
      </c>
      <c r="V16" s="77">
        <f t="shared" si="4"/>
        <v>0</v>
      </c>
      <c r="W16" s="77">
        <f t="shared" si="4"/>
        <v>0</v>
      </c>
      <c r="X16" s="77">
        <f t="shared" si="4"/>
        <v>0</v>
      </c>
      <c r="Y16" s="77">
        <f t="shared" si="4"/>
        <v>0</v>
      </c>
      <c r="Z16" s="77">
        <f t="shared" si="4"/>
        <v>0</v>
      </c>
      <c r="AA16" s="77">
        <f t="shared" si="4"/>
        <v>0</v>
      </c>
      <c r="AB16" s="77">
        <f t="shared" si="4"/>
        <v>0</v>
      </c>
      <c r="AC16" s="77">
        <f t="shared" si="4"/>
        <v>0</v>
      </c>
      <c r="AD16" s="77">
        <f t="shared" si="4"/>
        <v>0</v>
      </c>
      <c r="AE16" s="77">
        <f t="shared" si="4"/>
        <v>0</v>
      </c>
      <c r="AF16" s="77">
        <f t="shared" si="4"/>
        <v>0</v>
      </c>
      <c r="AG16" s="77">
        <f t="shared" si="4"/>
        <v>0</v>
      </c>
      <c r="AH16" s="77">
        <f t="shared" si="4"/>
        <v>0</v>
      </c>
      <c r="AI16" s="77">
        <f t="shared" si="4"/>
        <v>0</v>
      </c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9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0"/>
      <c r="CF16" s="80"/>
      <c r="CG16" s="80"/>
      <c r="CH16" s="80"/>
      <c r="CI16" s="80"/>
      <c r="CJ16" s="80"/>
      <c r="CK16" s="80"/>
      <c r="CL16" s="80"/>
      <c r="CM16" s="80"/>
      <c r="CN16" s="80"/>
      <c r="CO16" s="80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0"/>
      <c r="DA16" s="80"/>
      <c r="DB16" s="80"/>
      <c r="DC16" s="80"/>
      <c r="DD16" s="80"/>
      <c r="DE16" s="80"/>
      <c r="DF16" s="80"/>
      <c r="DG16" s="80"/>
      <c r="DH16" s="80"/>
      <c r="DI16" s="80"/>
      <c r="DJ16" s="80"/>
      <c r="DK16" s="80"/>
      <c r="DL16" s="80"/>
      <c r="DM16" s="80"/>
      <c r="DN16" s="80"/>
      <c r="DO16" s="80"/>
      <c r="DP16" s="80"/>
      <c r="DQ16" s="80"/>
      <c r="DR16" s="80"/>
      <c r="DS16" s="80"/>
      <c r="DT16" s="80"/>
      <c r="DU16" s="80"/>
      <c r="DV16" s="80"/>
      <c r="DW16" s="80"/>
      <c r="DX16" s="80"/>
      <c r="DY16" s="80"/>
      <c r="DZ16" s="80"/>
      <c r="EA16" s="80"/>
      <c r="EB16" s="80"/>
      <c r="EC16" s="80"/>
      <c r="ED16" s="80"/>
      <c r="EE16" s="80"/>
      <c r="EF16" s="80"/>
      <c r="EG16" s="80"/>
      <c r="EH16" s="80"/>
      <c r="EI16" s="80"/>
      <c r="EJ16" s="80"/>
      <c r="EK16" s="80"/>
      <c r="EL16" s="80"/>
      <c r="EM16" s="80"/>
      <c r="EN16" s="80"/>
      <c r="EO16" s="80"/>
      <c r="EP16" s="80"/>
      <c r="EQ16" s="80"/>
      <c r="ER16" s="80"/>
      <c r="ES16" s="80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</row>
    <row r="17" spans="1:252" s="12" customFormat="1" ht="21.75" hidden="1" customHeight="1" outlineLevel="1" x14ac:dyDescent="0.3">
      <c r="A17" s="93"/>
      <c r="B17" s="93"/>
      <c r="C17" s="93"/>
      <c r="D17" s="93"/>
      <c r="E17" s="93"/>
      <c r="F17" s="94"/>
      <c r="G17" s="75" t="s">
        <v>27</v>
      </c>
      <c r="H17" s="77">
        <f t="shared" ref="H17:AI17" si="5">COUNTIF(H21:H33, "=Blocked")</f>
        <v>0</v>
      </c>
      <c r="I17" s="77">
        <f t="shared" si="5"/>
        <v>0</v>
      </c>
      <c r="J17" s="77">
        <f t="shared" si="5"/>
        <v>0</v>
      </c>
      <c r="K17" s="77">
        <f t="shared" si="5"/>
        <v>0</v>
      </c>
      <c r="L17" s="77">
        <f t="shared" si="5"/>
        <v>0</v>
      </c>
      <c r="M17" s="77">
        <f t="shared" si="5"/>
        <v>0</v>
      </c>
      <c r="N17" s="77">
        <f t="shared" si="5"/>
        <v>0</v>
      </c>
      <c r="O17" s="77">
        <f t="shared" si="5"/>
        <v>0</v>
      </c>
      <c r="P17" s="77">
        <f t="shared" si="5"/>
        <v>0</v>
      </c>
      <c r="Q17" s="77">
        <f t="shared" si="5"/>
        <v>0</v>
      </c>
      <c r="R17" s="77">
        <f t="shared" si="5"/>
        <v>0</v>
      </c>
      <c r="S17" s="77">
        <f t="shared" si="5"/>
        <v>0</v>
      </c>
      <c r="T17" s="77">
        <f t="shared" si="5"/>
        <v>0</v>
      </c>
      <c r="U17" s="77">
        <f t="shared" si="5"/>
        <v>0</v>
      </c>
      <c r="V17" s="77">
        <f t="shared" si="5"/>
        <v>0</v>
      </c>
      <c r="W17" s="77">
        <f t="shared" si="5"/>
        <v>0</v>
      </c>
      <c r="X17" s="77">
        <f t="shared" si="5"/>
        <v>0</v>
      </c>
      <c r="Y17" s="77">
        <f t="shared" si="5"/>
        <v>0</v>
      </c>
      <c r="Z17" s="77">
        <f t="shared" si="5"/>
        <v>0</v>
      </c>
      <c r="AA17" s="77">
        <f t="shared" si="5"/>
        <v>0</v>
      </c>
      <c r="AB17" s="77">
        <f t="shared" si="5"/>
        <v>0</v>
      </c>
      <c r="AC17" s="77">
        <f t="shared" si="5"/>
        <v>0</v>
      </c>
      <c r="AD17" s="77">
        <f t="shared" si="5"/>
        <v>0</v>
      </c>
      <c r="AE17" s="77">
        <f t="shared" si="5"/>
        <v>0</v>
      </c>
      <c r="AF17" s="77">
        <f t="shared" si="5"/>
        <v>0</v>
      </c>
      <c r="AG17" s="77">
        <f t="shared" si="5"/>
        <v>0</v>
      </c>
      <c r="AH17" s="77">
        <f t="shared" si="5"/>
        <v>0</v>
      </c>
      <c r="AI17" s="77">
        <f t="shared" si="5"/>
        <v>0</v>
      </c>
      <c r="AJ17" s="77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9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  <c r="DA17" s="80"/>
      <c r="DB17" s="80"/>
      <c r="DC17" s="80"/>
      <c r="DD17" s="80"/>
      <c r="DE17" s="80"/>
      <c r="DF17" s="80"/>
      <c r="DG17" s="80"/>
      <c r="DH17" s="80"/>
      <c r="DI17" s="80"/>
      <c r="DJ17" s="80"/>
      <c r="DK17" s="80"/>
      <c r="DL17" s="80"/>
      <c r="DM17" s="80"/>
      <c r="DN17" s="80"/>
      <c r="DO17" s="80"/>
      <c r="DP17" s="80"/>
      <c r="DQ17" s="80"/>
      <c r="DR17" s="80"/>
      <c r="DS17" s="80"/>
      <c r="DT17" s="80"/>
      <c r="DU17" s="80"/>
      <c r="DV17" s="80"/>
      <c r="DW17" s="80"/>
      <c r="DX17" s="80"/>
      <c r="DY17" s="80"/>
      <c r="DZ17" s="80"/>
      <c r="EA17" s="80"/>
      <c r="EB17" s="80"/>
      <c r="EC17" s="80"/>
      <c r="ED17" s="80"/>
      <c r="EE17" s="80"/>
      <c r="EF17" s="80"/>
      <c r="EG17" s="80"/>
      <c r="EH17" s="80"/>
      <c r="EI17" s="80"/>
      <c r="EJ17" s="80"/>
      <c r="EK17" s="80"/>
      <c r="EL17" s="80"/>
      <c r="EM17" s="80"/>
      <c r="EN17" s="80"/>
      <c r="EO17" s="80"/>
      <c r="EP17" s="80"/>
      <c r="EQ17" s="80"/>
      <c r="ER17" s="80"/>
      <c r="ES17" s="80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</row>
    <row r="18" spans="1:252" s="12" customFormat="1" ht="21.75" hidden="1" customHeight="1" outlineLevel="1" x14ac:dyDescent="0.3">
      <c r="A18" s="93"/>
      <c r="B18" s="93"/>
      <c r="C18" s="93"/>
      <c r="D18" s="93"/>
      <c r="E18" s="93"/>
      <c r="F18" s="94"/>
      <c r="G18" s="75" t="s">
        <v>32</v>
      </c>
      <c r="H18" s="77">
        <f>COUNTIF(H21:H33, "=Not Run")</f>
        <v>0</v>
      </c>
      <c r="I18" s="77">
        <f t="shared" ref="I18:AI18" si="6">COUNTIF(I21:I33, "=Not Run")</f>
        <v>0</v>
      </c>
      <c r="J18" s="77">
        <f t="shared" si="6"/>
        <v>0</v>
      </c>
      <c r="K18" s="77">
        <f t="shared" si="6"/>
        <v>0</v>
      </c>
      <c r="L18" s="77">
        <f t="shared" si="6"/>
        <v>0</v>
      </c>
      <c r="M18" s="77">
        <f t="shared" si="6"/>
        <v>0</v>
      </c>
      <c r="N18" s="77">
        <f t="shared" si="6"/>
        <v>0</v>
      </c>
      <c r="O18" s="77">
        <f t="shared" si="6"/>
        <v>0</v>
      </c>
      <c r="P18" s="77">
        <f t="shared" si="6"/>
        <v>0</v>
      </c>
      <c r="Q18" s="77">
        <f t="shared" si="6"/>
        <v>0</v>
      </c>
      <c r="R18" s="77">
        <f t="shared" si="6"/>
        <v>0</v>
      </c>
      <c r="S18" s="77">
        <f t="shared" si="6"/>
        <v>0</v>
      </c>
      <c r="T18" s="77">
        <f t="shared" si="6"/>
        <v>0</v>
      </c>
      <c r="U18" s="77">
        <f t="shared" si="6"/>
        <v>0</v>
      </c>
      <c r="V18" s="77">
        <f t="shared" si="6"/>
        <v>0</v>
      </c>
      <c r="W18" s="77">
        <f t="shared" si="6"/>
        <v>0</v>
      </c>
      <c r="X18" s="77">
        <f t="shared" si="6"/>
        <v>0</v>
      </c>
      <c r="Y18" s="77">
        <f t="shared" si="6"/>
        <v>0</v>
      </c>
      <c r="Z18" s="77">
        <f t="shared" si="6"/>
        <v>0</v>
      </c>
      <c r="AA18" s="77">
        <f t="shared" si="6"/>
        <v>0</v>
      </c>
      <c r="AB18" s="77">
        <f t="shared" si="6"/>
        <v>0</v>
      </c>
      <c r="AC18" s="77">
        <f t="shared" si="6"/>
        <v>0</v>
      </c>
      <c r="AD18" s="77">
        <f t="shared" si="6"/>
        <v>0</v>
      </c>
      <c r="AE18" s="77">
        <f t="shared" si="6"/>
        <v>0</v>
      </c>
      <c r="AF18" s="77">
        <f t="shared" si="6"/>
        <v>0</v>
      </c>
      <c r="AG18" s="77">
        <f t="shared" si="6"/>
        <v>0</v>
      </c>
      <c r="AH18" s="77">
        <f t="shared" si="6"/>
        <v>0</v>
      </c>
      <c r="AI18" s="77">
        <f t="shared" si="6"/>
        <v>0</v>
      </c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9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  <c r="DA18" s="80"/>
      <c r="DB18" s="80"/>
      <c r="DC18" s="80"/>
      <c r="DD18" s="80"/>
      <c r="DE18" s="80"/>
      <c r="DF18" s="80"/>
      <c r="DG18" s="80"/>
      <c r="DH18" s="80"/>
      <c r="DI18" s="80"/>
      <c r="DJ18" s="80"/>
      <c r="DK18" s="80"/>
      <c r="DL18" s="80"/>
      <c r="DM18" s="80"/>
      <c r="DN18" s="80"/>
      <c r="DO18" s="80"/>
      <c r="DP18" s="80"/>
      <c r="DQ18" s="80"/>
      <c r="DR18" s="80"/>
      <c r="DS18" s="80"/>
      <c r="DT18" s="80"/>
      <c r="DU18" s="80"/>
      <c r="DV18" s="80"/>
      <c r="DW18" s="80"/>
      <c r="DX18" s="80"/>
      <c r="DY18" s="80"/>
      <c r="DZ18" s="80"/>
      <c r="EA18" s="80"/>
      <c r="EB18" s="80"/>
      <c r="EC18" s="80"/>
      <c r="ED18" s="80"/>
      <c r="EE18" s="80"/>
      <c r="EF18" s="80"/>
      <c r="EG18" s="80"/>
      <c r="EH18" s="80"/>
      <c r="EI18" s="80"/>
      <c r="EJ18" s="80"/>
      <c r="EK18" s="80"/>
      <c r="EL18" s="80"/>
      <c r="EM18" s="80"/>
      <c r="EN18" s="80"/>
      <c r="EO18" s="80"/>
      <c r="EP18" s="80"/>
      <c r="EQ18" s="80"/>
      <c r="ER18" s="80"/>
      <c r="ES18" s="80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</row>
    <row r="19" spans="1:252" s="10" customFormat="1" ht="54" customHeight="1" x14ac:dyDescent="0.25">
      <c r="A19" s="95" t="s">
        <v>0</v>
      </c>
      <c r="B19" s="27" t="s">
        <v>1</v>
      </c>
      <c r="C19" s="27" t="s">
        <v>39</v>
      </c>
      <c r="D19" s="27" t="s">
        <v>2</v>
      </c>
      <c r="E19" s="27" t="s">
        <v>3</v>
      </c>
      <c r="F19" s="27" t="s">
        <v>20</v>
      </c>
      <c r="G19" s="55" t="s">
        <v>21</v>
      </c>
      <c r="H19" s="30" t="s">
        <v>41</v>
      </c>
      <c r="I19" s="30" t="s">
        <v>42</v>
      </c>
      <c r="J19" s="30"/>
      <c r="K19" s="30"/>
      <c r="L19" s="30"/>
      <c r="M19" s="30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</row>
    <row r="20" spans="1:252" s="1" customFormat="1" ht="12.75" customHeight="1" x14ac:dyDescent="0.3">
      <c r="B20" s="5" t="s">
        <v>4</v>
      </c>
      <c r="G20" s="8"/>
    </row>
    <row r="21" spans="1:252" s="6" customFormat="1" ht="12.75" customHeight="1" outlineLevel="1" x14ac:dyDescent="0.3">
      <c r="A21" s="21">
        <v>1</v>
      </c>
      <c r="B21" s="22"/>
      <c r="C21" s="21"/>
      <c r="D21" s="21"/>
      <c r="E21" s="21"/>
      <c r="F21" s="23"/>
      <c r="G21" s="24"/>
      <c r="H21" s="20"/>
      <c r="I21" s="20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</row>
    <row r="22" spans="1:252" s="6" customFormat="1" ht="13.5" customHeight="1" outlineLevel="1" x14ac:dyDescent="0.3">
      <c r="A22" s="21">
        <v>2</v>
      </c>
      <c r="B22" s="22"/>
      <c r="C22" s="21"/>
      <c r="D22" s="21"/>
      <c r="E22" s="21"/>
      <c r="F22" s="23"/>
      <c r="G22" s="24"/>
      <c r="H22" s="20"/>
      <c r="I22" s="20"/>
      <c r="J22" s="19"/>
      <c r="K22" s="19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</row>
    <row r="23" spans="1:252" s="6" customFormat="1" ht="12.75" customHeight="1" outlineLevel="1" x14ac:dyDescent="0.3">
      <c r="A23" s="21">
        <v>3</v>
      </c>
      <c r="B23" s="22"/>
      <c r="C23" s="21"/>
      <c r="D23" s="21"/>
      <c r="E23" s="21"/>
      <c r="F23" s="23"/>
      <c r="G23" s="24"/>
      <c r="H23" s="20"/>
      <c r="I23" s="20"/>
      <c r="J23" s="19"/>
      <c r="K23" s="19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</row>
    <row r="24" spans="1:252" s="6" customFormat="1" ht="13" outlineLevel="1" x14ac:dyDescent="0.3">
      <c r="A24" s="21">
        <v>4</v>
      </c>
      <c r="B24" s="22"/>
      <c r="C24" s="21"/>
      <c r="D24" s="21"/>
      <c r="E24" s="21"/>
      <c r="F24" s="23"/>
      <c r="G24" s="24"/>
      <c r="H24" s="20"/>
      <c r="I24" s="20"/>
      <c r="J24" s="19"/>
      <c r="K24" s="19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</row>
    <row r="25" spans="1:252" s="6" customFormat="1" ht="13" outlineLevel="1" x14ac:dyDescent="0.3">
      <c r="A25" s="21">
        <v>5</v>
      </c>
      <c r="B25" s="22"/>
      <c r="C25" s="21"/>
      <c r="D25" s="21"/>
      <c r="E25" s="21"/>
      <c r="F25" s="23"/>
      <c r="G25" s="24"/>
      <c r="H25" s="20"/>
      <c r="I25" s="20"/>
      <c r="J25" s="19"/>
      <c r="K25" s="19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</row>
    <row r="26" spans="1:252" s="6" customFormat="1" ht="13" outlineLevel="1" x14ac:dyDescent="0.3">
      <c r="A26" s="21">
        <v>6</v>
      </c>
      <c r="B26" s="22"/>
      <c r="C26" s="21"/>
      <c r="D26" s="21"/>
      <c r="E26" s="21"/>
      <c r="F26" s="23"/>
      <c r="G26" s="24"/>
      <c r="H26" s="20"/>
      <c r="I26" s="20"/>
      <c r="J26" s="19"/>
      <c r="K26" s="19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</row>
    <row r="27" spans="1:252" s="6" customFormat="1" ht="13" outlineLevel="1" x14ac:dyDescent="0.3">
      <c r="A27" s="21"/>
      <c r="B27" s="22"/>
      <c r="C27" s="21"/>
      <c r="D27" s="21"/>
      <c r="E27" s="21"/>
      <c r="F27" s="23"/>
      <c r="G27" s="24"/>
      <c r="H27" s="20"/>
      <c r="I27" s="20"/>
      <c r="J27" s="19"/>
      <c r="K27" s="19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</row>
    <row r="28" spans="1:252" s="6" customFormat="1" ht="13" outlineLevel="1" x14ac:dyDescent="0.3">
      <c r="A28" s="21"/>
      <c r="B28" s="22"/>
      <c r="C28" s="21"/>
      <c r="D28" s="21"/>
      <c r="E28" s="21"/>
      <c r="F28" s="23"/>
      <c r="G28" s="24"/>
      <c r="H28" s="20"/>
      <c r="I28" s="20"/>
      <c r="J28" s="19"/>
      <c r="K28" s="19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</row>
    <row r="29" spans="1:252" s="6" customFormat="1" ht="13" outlineLevel="1" x14ac:dyDescent="0.3">
      <c r="A29" s="21"/>
      <c r="B29" s="22"/>
      <c r="C29" s="21"/>
      <c r="D29" s="21"/>
      <c r="E29" s="21"/>
      <c r="F29" s="23"/>
      <c r="G29" s="24"/>
      <c r="H29" s="20"/>
      <c r="I29" s="20"/>
      <c r="J29" s="19"/>
      <c r="K29" s="19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</row>
    <row r="30" spans="1:252" s="6" customFormat="1" ht="13" outlineLevel="1" x14ac:dyDescent="0.3">
      <c r="A30" s="21"/>
      <c r="B30" s="21"/>
      <c r="C30" s="21"/>
      <c r="D30" s="21"/>
      <c r="E30" s="21"/>
      <c r="F30" s="21"/>
      <c r="G30" s="24"/>
      <c r="H30" s="22"/>
      <c r="I30" s="2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</row>
    <row r="31" spans="1:252" s="6" customFormat="1" ht="13" outlineLevel="1" x14ac:dyDescent="0.3">
      <c r="A31" s="21"/>
      <c r="B31" s="21"/>
      <c r="C31" s="21"/>
      <c r="D31" s="21"/>
      <c r="E31" s="21"/>
      <c r="F31" s="21"/>
      <c r="G31" s="24"/>
      <c r="H31" s="22"/>
      <c r="I31" s="2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</row>
    <row r="32" spans="1:252" s="6" customFormat="1" ht="13" outlineLevel="1" x14ac:dyDescent="0.3">
      <c r="A32" s="21"/>
      <c r="B32" s="21"/>
      <c r="C32" s="21"/>
      <c r="D32" s="21"/>
      <c r="E32" s="21"/>
      <c r="F32" s="21"/>
      <c r="G32" s="24"/>
      <c r="H32" s="22"/>
      <c r="I32" s="2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</row>
    <row r="33" spans="1:35" ht="13" x14ac:dyDescent="0.3">
      <c r="A33" s="18"/>
      <c r="B33" s="3"/>
      <c r="C33" s="3"/>
      <c r="D33" s="3"/>
      <c r="E33" s="3"/>
      <c r="F33" s="3"/>
      <c r="G33" s="25"/>
      <c r="H33" s="26"/>
      <c r="I33" s="2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ht="13" x14ac:dyDescent="0.3">
      <c r="A34" s="3"/>
      <c r="B34" s="3"/>
      <c r="C34" s="3"/>
      <c r="D34" s="18"/>
      <c r="E34" s="3"/>
      <c r="F34" s="3"/>
      <c r="G34" s="25"/>
      <c r="H34" s="26"/>
      <c r="I34" s="2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 ht="13" x14ac:dyDescent="0.3">
      <c r="A35" s="3"/>
      <c r="B35" s="3"/>
      <c r="C35" s="3"/>
      <c r="D35" s="3"/>
      <c r="E35" s="3"/>
      <c r="F35" s="3"/>
      <c r="G35" s="25"/>
      <c r="H35" s="26"/>
      <c r="I35" s="2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3" x14ac:dyDescent="0.3">
      <c r="A36" s="3"/>
      <c r="B36" s="3"/>
      <c r="C36" s="3"/>
      <c r="D36" s="3"/>
      <c r="E36" s="3"/>
      <c r="F36" s="3"/>
      <c r="G36" s="25"/>
      <c r="H36" s="26"/>
      <c r="I36" s="2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spans="1:35" ht="13" x14ac:dyDescent="0.3">
      <c r="A37" s="3"/>
      <c r="B37" s="3"/>
      <c r="C37" s="3"/>
      <c r="D37" s="3"/>
      <c r="E37" s="3"/>
      <c r="F37" s="3"/>
      <c r="G37" s="25"/>
      <c r="H37" s="26"/>
      <c r="I37" s="26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ht="13" x14ac:dyDescent="0.3">
      <c r="A38" s="3"/>
      <c r="B38" s="3"/>
      <c r="C38" s="3"/>
      <c r="D38" s="3"/>
      <c r="E38" s="3"/>
      <c r="F38" s="3"/>
      <c r="G38" s="25"/>
      <c r="H38" s="26"/>
      <c r="I38" s="26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spans="1:35" ht="13" x14ac:dyDescent="0.3">
      <c r="A39" s="3"/>
      <c r="B39" s="3"/>
      <c r="C39" s="3"/>
      <c r="D39" s="3"/>
      <c r="E39" s="3"/>
      <c r="F39" s="3"/>
      <c r="G39" s="25"/>
      <c r="H39" s="26"/>
      <c r="I39" s="26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1:35" ht="13" x14ac:dyDescent="0.3">
      <c r="A40" s="3"/>
      <c r="B40" s="3"/>
      <c r="C40" s="3"/>
      <c r="D40" s="3"/>
      <c r="E40" s="3"/>
      <c r="F40" s="3"/>
      <c r="G40" s="25"/>
      <c r="H40" s="26"/>
      <c r="I40" s="2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spans="1:35" ht="13" x14ac:dyDescent="0.3">
      <c r="A41" s="3"/>
      <c r="B41" s="3"/>
      <c r="C41" s="3"/>
      <c r="D41" s="3"/>
      <c r="E41" s="3"/>
      <c r="F41" s="3"/>
      <c r="G41" s="25"/>
      <c r="H41" s="26"/>
      <c r="I41" s="2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spans="1:35" ht="13" x14ac:dyDescent="0.3">
      <c r="A42" s="3"/>
      <c r="B42" s="3"/>
      <c r="C42" s="3"/>
      <c r="D42" s="3"/>
      <c r="E42" s="3"/>
      <c r="F42" s="3"/>
      <c r="G42" s="25"/>
      <c r="H42" s="26"/>
      <c r="I42" s="26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spans="1:35" ht="13" x14ac:dyDescent="0.3">
      <c r="A43" s="3"/>
      <c r="B43" s="3"/>
      <c r="C43" s="3"/>
      <c r="D43" s="3"/>
      <c r="E43" s="3"/>
      <c r="F43" s="3"/>
      <c r="G43" s="25"/>
      <c r="H43" s="26"/>
      <c r="I43" s="2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spans="1:35" ht="13" x14ac:dyDescent="0.3">
      <c r="A44" s="3"/>
      <c r="B44" s="3"/>
      <c r="C44" s="3"/>
      <c r="D44" s="3"/>
      <c r="E44" s="3"/>
      <c r="F44" s="3"/>
      <c r="G44" s="25"/>
      <c r="H44" s="26"/>
      <c r="I44" s="2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spans="1:35" ht="13" x14ac:dyDescent="0.3">
      <c r="A45" s="3"/>
      <c r="B45" s="3"/>
      <c r="C45" s="3"/>
      <c r="D45" s="3"/>
      <c r="E45" s="3"/>
      <c r="F45" s="3"/>
      <c r="G45" s="25"/>
      <c r="H45" s="26"/>
      <c r="I45" s="2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pans="1:35" ht="13" x14ac:dyDescent="0.3">
      <c r="A46" s="3"/>
      <c r="B46" s="3"/>
      <c r="C46" s="3"/>
      <c r="D46" s="3"/>
      <c r="E46" s="3"/>
      <c r="F46" s="3"/>
      <c r="G46" s="25"/>
      <c r="H46" s="26"/>
      <c r="I46" s="2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spans="1:35" ht="13" x14ac:dyDescent="0.3">
      <c r="A47" s="3"/>
      <c r="B47" s="3"/>
      <c r="C47" s="3"/>
      <c r="D47" s="3"/>
      <c r="E47" s="3"/>
      <c r="F47" s="3"/>
      <c r="G47" s="25"/>
      <c r="H47" s="26"/>
      <c r="I47" s="26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 ht="13" x14ac:dyDescent="0.3">
      <c r="A48" s="3"/>
      <c r="B48" s="3"/>
      <c r="C48" s="3"/>
      <c r="D48" s="3"/>
      <c r="E48" s="3"/>
      <c r="F48" s="3"/>
      <c r="G48" s="25"/>
      <c r="H48" s="26"/>
      <c r="I48" s="2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spans="1:35" ht="13" x14ac:dyDescent="0.3">
      <c r="A49" s="3"/>
      <c r="B49" s="3"/>
      <c r="C49" s="3"/>
      <c r="D49" s="3"/>
      <c r="E49" s="3"/>
      <c r="F49" s="3"/>
      <c r="G49" s="25"/>
      <c r="H49" s="26"/>
      <c r="I49" s="26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spans="1:35" ht="13" x14ac:dyDescent="0.3">
      <c r="A50" s="3"/>
      <c r="B50" s="3"/>
      <c r="C50" s="3"/>
      <c r="D50" s="3"/>
      <c r="E50" s="3"/>
      <c r="F50" s="3"/>
      <c r="G50" s="25"/>
      <c r="H50" s="26"/>
      <c r="I50" s="26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spans="1:35" ht="13" x14ac:dyDescent="0.3">
      <c r="A51" s="3"/>
      <c r="B51" s="3"/>
      <c r="C51" s="3"/>
      <c r="D51" s="3"/>
      <c r="E51" s="3"/>
      <c r="F51" s="3"/>
      <c r="G51" s="25"/>
      <c r="H51" s="26"/>
      <c r="I51" s="2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spans="1:35" ht="13" x14ac:dyDescent="0.3">
      <c r="A52" s="3"/>
      <c r="B52" s="3"/>
      <c r="C52" s="3"/>
      <c r="D52" s="3"/>
      <c r="E52" s="3"/>
      <c r="F52" s="3"/>
      <c r="G52" s="25"/>
      <c r="H52" s="26"/>
      <c r="I52" s="26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 spans="1:35" ht="13" x14ac:dyDescent="0.3">
      <c r="A53" s="3"/>
      <c r="B53" s="3"/>
      <c r="C53" s="3"/>
      <c r="D53" s="3"/>
      <c r="E53" s="3"/>
      <c r="F53" s="3"/>
      <c r="G53" s="25"/>
      <c r="H53" s="26"/>
      <c r="I53" s="26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 spans="1:35" ht="13" x14ac:dyDescent="0.3">
      <c r="A54" s="3"/>
      <c r="B54" s="3"/>
      <c r="C54" s="3"/>
      <c r="D54" s="3"/>
      <c r="E54" s="3"/>
      <c r="F54" s="3"/>
      <c r="G54" s="25"/>
      <c r="H54" s="26"/>
      <c r="I54" s="26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 spans="1:35" ht="13" x14ac:dyDescent="0.3">
      <c r="A55" s="3"/>
      <c r="B55" s="3"/>
      <c r="C55" s="3"/>
      <c r="D55" s="3"/>
      <c r="E55" s="3"/>
      <c r="F55" s="3"/>
      <c r="G55" s="25"/>
      <c r="H55" s="26"/>
      <c r="I55" s="2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 spans="1:35" ht="13" x14ac:dyDescent="0.3">
      <c r="A56" s="3"/>
      <c r="B56" s="3"/>
      <c r="C56" s="3"/>
      <c r="D56" s="3"/>
      <c r="E56" s="3"/>
      <c r="F56" s="3"/>
      <c r="G56" s="25"/>
      <c r="H56" s="26"/>
      <c r="I56" s="2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 spans="1:35" ht="13" x14ac:dyDescent="0.3">
      <c r="A57" s="3"/>
      <c r="B57" s="3"/>
      <c r="C57" s="3"/>
      <c r="D57" s="3"/>
      <c r="E57" s="3"/>
      <c r="F57" s="3"/>
      <c r="G57" s="25"/>
      <c r="H57" s="26"/>
      <c r="I57" s="2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 spans="1:35" ht="13" x14ac:dyDescent="0.3">
      <c r="A58" s="3"/>
      <c r="B58" s="3"/>
      <c r="C58" s="3"/>
      <c r="D58" s="3"/>
      <c r="E58" s="3"/>
      <c r="F58" s="3"/>
      <c r="G58" s="25"/>
      <c r="H58" s="26"/>
      <c r="I58" s="2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 spans="1:35" ht="13" x14ac:dyDescent="0.3">
      <c r="A59" s="3"/>
      <c r="B59" s="3"/>
      <c r="C59" s="3"/>
      <c r="D59" s="3"/>
      <c r="E59" s="3"/>
      <c r="F59" s="3"/>
      <c r="G59" s="25"/>
      <c r="H59" s="26"/>
      <c r="I59" s="2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 spans="1:35" ht="13" x14ac:dyDescent="0.3">
      <c r="A60" s="3"/>
      <c r="B60" s="3"/>
      <c r="C60" s="3"/>
      <c r="D60" s="3"/>
      <c r="E60" s="3"/>
      <c r="F60" s="3"/>
      <c r="G60" s="25"/>
      <c r="H60" s="26"/>
      <c r="I60" s="2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 spans="1:35" ht="13" x14ac:dyDescent="0.3">
      <c r="A61" s="3"/>
      <c r="B61" s="3"/>
      <c r="C61" s="3"/>
      <c r="D61" s="3"/>
      <c r="E61" s="3"/>
      <c r="F61" s="3"/>
      <c r="G61" s="25"/>
      <c r="H61" s="26"/>
      <c r="I61" s="2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 spans="1:35" ht="13" x14ac:dyDescent="0.3">
      <c r="A62" s="3"/>
      <c r="B62" s="3"/>
      <c r="C62" s="3"/>
      <c r="D62" s="3"/>
      <c r="E62" s="3"/>
      <c r="F62" s="3"/>
      <c r="G62" s="25"/>
      <c r="H62" s="26"/>
      <c r="I62" s="2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 spans="1:35" ht="13" x14ac:dyDescent="0.3">
      <c r="A63" s="3"/>
      <c r="B63" s="3"/>
      <c r="C63" s="3"/>
      <c r="D63" s="3"/>
      <c r="E63" s="3"/>
      <c r="F63" s="3"/>
      <c r="G63" s="25"/>
      <c r="H63" s="26"/>
      <c r="I63" s="2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 spans="1:35" ht="13" x14ac:dyDescent="0.3">
      <c r="A64" s="3"/>
      <c r="B64" s="3"/>
      <c r="C64" s="3"/>
      <c r="D64" s="3"/>
      <c r="E64" s="3"/>
      <c r="F64" s="3"/>
      <c r="G64" s="25"/>
      <c r="H64" s="26"/>
      <c r="I64" s="2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 spans="1:35" ht="13" x14ac:dyDescent="0.3">
      <c r="A65" s="3"/>
      <c r="B65" s="3"/>
      <c r="C65" s="3"/>
      <c r="D65" s="3"/>
      <c r="E65" s="3"/>
      <c r="F65" s="3"/>
      <c r="G65" s="25"/>
      <c r="H65" s="26"/>
      <c r="I65" s="2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spans="1:35" ht="13" x14ac:dyDescent="0.3">
      <c r="A66" s="3"/>
      <c r="B66" s="3"/>
      <c r="C66" s="3"/>
      <c r="D66" s="3"/>
      <c r="E66" s="3"/>
      <c r="F66" s="3"/>
      <c r="G66" s="25"/>
      <c r="H66" s="26"/>
      <c r="I66" s="2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spans="1:35" ht="13" x14ac:dyDescent="0.3">
      <c r="A67" s="3"/>
      <c r="B67" s="3"/>
      <c r="C67" s="3"/>
      <c r="D67" s="3"/>
      <c r="E67" s="3"/>
      <c r="F67" s="3"/>
      <c r="G67" s="25"/>
      <c r="H67" s="26"/>
      <c r="I67" s="2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spans="1:35" ht="13" x14ac:dyDescent="0.3">
      <c r="A68" s="3"/>
      <c r="B68" s="3"/>
      <c r="C68" s="3"/>
      <c r="D68" s="3"/>
      <c r="E68" s="3"/>
      <c r="F68" s="3"/>
      <c r="G68" s="25"/>
      <c r="H68" s="26"/>
      <c r="I68" s="2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spans="1:35" ht="13" x14ac:dyDescent="0.3">
      <c r="A69" s="3"/>
      <c r="B69" s="3"/>
      <c r="C69" s="3"/>
      <c r="D69" s="3"/>
      <c r="E69" s="3"/>
      <c r="F69" s="3"/>
      <c r="G69" s="25"/>
      <c r="H69" s="26"/>
      <c r="I69" s="2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 spans="1:35" ht="13" x14ac:dyDescent="0.3">
      <c r="A70" s="3"/>
      <c r="B70" s="3"/>
      <c r="C70" s="3"/>
      <c r="D70" s="3"/>
      <c r="E70" s="3"/>
      <c r="F70" s="3"/>
      <c r="G70" s="25"/>
      <c r="H70" s="26"/>
      <c r="I70" s="2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spans="1:35" ht="13" x14ac:dyDescent="0.3">
      <c r="A71" s="3"/>
      <c r="B71" s="3"/>
      <c r="C71" s="3"/>
      <c r="D71" s="3"/>
      <c r="E71" s="3"/>
      <c r="F71" s="3"/>
      <c r="G71" s="25"/>
      <c r="H71" s="26"/>
      <c r="I71" s="26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 spans="1:35" ht="13" x14ac:dyDescent="0.3">
      <c r="A72" s="3"/>
      <c r="B72" s="3"/>
      <c r="C72" s="3"/>
      <c r="D72" s="3"/>
      <c r="E72" s="3"/>
      <c r="F72" s="3"/>
      <c r="G72" s="25"/>
      <c r="H72" s="26"/>
      <c r="I72" s="26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 spans="1:35" ht="13" x14ac:dyDescent="0.3">
      <c r="A73" s="3"/>
      <c r="B73" s="3"/>
      <c r="C73" s="3"/>
      <c r="D73" s="3"/>
      <c r="E73" s="3"/>
      <c r="F73" s="3"/>
      <c r="G73" s="25"/>
      <c r="H73" s="26"/>
      <c r="I73" s="26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 spans="1:35" ht="13" x14ac:dyDescent="0.3">
      <c r="A74" s="3"/>
      <c r="B74" s="3"/>
      <c r="C74" s="3"/>
      <c r="D74" s="3"/>
      <c r="E74" s="3"/>
      <c r="F74" s="3"/>
      <c r="G74" s="25"/>
      <c r="H74" s="26"/>
      <c r="I74" s="26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 spans="1:35" ht="13" x14ac:dyDescent="0.3">
      <c r="A75" s="3"/>
      <c r="B75" s="3"/>
      <c r="C75" s="3"/>
      <c r="D75" s="3"/>
      <c r="E75" s="3"/>
      <c r="F75" s="3"/>
      <c r="G75" s="25"/>
      <c r="H75" s="26"/>
      <c r="I75" s="26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 spans="1:35" ht="13" x14ac:dyDescent="0.3">
      <c r="A76" s="3"/>
      <c r="B76" s="3"/>
      <c r="C76" s="3"/>
      <c r="D76" s="3"/>
      <c r="E76" s="3"/>
      <c r="F76" s="3"/>
      <c r="G76" s="25"/>
      <c r="H76" s="26"/>
      <c r="I76" s="26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 spans="1:35" ht="13" x14ac:dyDescent="0.3">
      <c r="A77" s="3"/>
      <c r="B77" s="3"/>
      <c r="C77" s="3"/>
      <c r="D77" s="3"/>
      <c r="E77" s="3"/>
      <c r="F77" s="3"/>
      <c r="G77" s="25"/>
      <c r="H77" s="26"/>
      <c r="I77" s="26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 spans="1:35" ht="13" x14ac:dyDescent="0.3">
      <c r="A78" s="3"/>
      <c r="B78" s="3"/>
      <c r="C78" s="3"/>
      <c r="D78" s="3"/>
      <c r="E78" s="3"/>
      <c r="F78" s="3"/>
      <c r="G78" s="25"/>
      <c r="H78" s="26"/>
      <c r="I78" s="2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 spans="1:35" ht="13" x14ac:dyDescent="0.3">
      <c r="A79" s="3"/>
      <c r="B79" s="3"/>
      <c r="C79" s="3"/>
      <c r="D79" s="3"/>
      <c r="E79" s="3"/>
      <c r="F79" s="3"/>
      <c r="G79" s="25"/>
      <c r="H79" s="26"/>
      <c r="I79" s="2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 spans="1:35" ht="13" x14ac:dyDescent="0.3">
      <c r="A80" s="3"/>
      <c r="B80" s="3"/>
      <c r="C80" s="3"/>
      <c r="D80" s="3"/>
      <c r="E80" s="3"/>
      <c r="F80" s="3"/>
      <c r="G80" s="25"/>
      <c r="H80" s="26"/>
      <c r="I80" s="2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 spans="1:35" ht="13" x14ac:dyDescent="0.3">
      <c r="A81" s="3"/>
      <c r="B81" s="3"/>
      <c r="C81" s="3"/>
      <c r="D81" s="3"/>
      <c r="E81" s="3"/>
      <c r="F81" s="3"/>
      <c r="G81" s="25"/>
      <c r="H81" s="26"/>
      <c r="I81" s="2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 spans="1:35" ht="13" x14ac:dyDescent="0.3">
      <c r="A82" s="3"/>
      <c r="B82" s="3"/>
      <c r="C82" s="3"/>
      <c r="D82" s="3"/>
      <c r="E82" s="3"/>
      <c r="F82" s="3"/>
      <c r="G82" s="25"/>
      <c r="H82" s="26"/>
      <c r="I82" s="2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 spans="1:35" ht="13" x14ac:dyDescent="0.3">
      <c r="A83" s="3"/>
      <c r="B83" s="3"/>
      <c r="C83" s="3"/>
      <c r="D83" s="3"/>
      <c r="E83" s="3"/>
      <c r="F83" s="3"/>
      <c r="G83" s="25"/>
      <c r="H83" s="26"/>
      <c r="I83" s="2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 spans="1:35" ht="13" x14ac:dyDescent="0.3">
      <c r="A84" s="3"/>
      <c r="B84" s="3"/>
      <c r="C84" s="3"/>
      <c r="D84" s="3"/>
      <c r="E84" s="3"/>
      <c r="F84" s="3"/>
      <c r="G84" s="25"/>
      <c r="H84" s="26"/>
      <c r="I84" s="2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 spans="1:35" ht="13" x14ac:dyDescent="0.3">
      <c r="A85" s="3"/>
      <c r="B85" s="3"/>
      <c r="C85" s="3"/>
      <c r="D85" s="3"/>
      <c r="E85" s="3"/>
      <c r="F85" s="3"/>
      <c r="G85" s="25"/>
      <c r="H85" s="26"/>
      <c r="I85" s="2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spans="1:35" ht="13" x14ac:dyDescent="0.3">
      <c r="A86" s="3"/>
      <c r="B86" s="3"/>
      <c r="C86" s="3"/>
      <c r="D86" s="3"/>
      <c r="E86" s="3"/>
      <c r="F86" s="3"/>
      <c r="G86" s="25"/>
      <c r="H86" s="26"/>
      <c r="I86" s="2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 spans="1:35" ht="13" x14ac:dyDescent="0.3">
      <c r="A87" s="3"/>
      <c r="B87" s="3"/>
      <c r="C87" s="3"/>
      <c r="D87" s="3"/>
      <c r="E87" s="3"/>
      <c r="F87" s="3"/>
      <c r="G87" s="25"/>
      <c r="H87" s="26"/>
      <c r="I87" s="2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spans="1:35" ht="13" x14ac:dyDescent="0.3">
      <c r="A88" s="3"/>
      <c r="B88" s="3"/>
      <c r="C88" s="3"/>
      <c r="D88" s="3"/>
      <c r="E88" s="3"/>
      <c r="F88" s="3"/>
      <c r="G88" s="25"/>
      <c r="H88" s="26"/>
      <c r="I88" s="2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spans="1:35" ht="13" x14ac:dyDescent="0.3">
      <c r="A89" s="3"/>
      <c r="B89" s="3"/>
      <c r="C89" s="3"/>
      <c r="D89" s="3"/>
      <c r="E89" s="3"/>
      <c r="F89" s="3"/>
      <c r="G89" s="25"/>
      <c r="H89" s="26"/>
      <c r="I89" s="2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 spans="1:35" ht="13" x14ac:dyDescent="0.3">
      <c r="A90" s="3"/>
      <c r="B90" s="3"/>
      <c r="C90" s="3"/>
      <c r="D90" s="3"/>
      <c r="E90" s="3"/>
      <c r="F90" s="3"/>
      <c r="G90" s="25"/>
      <c r="H90" s="26"/>
      <c r="I90" s="26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 spans="1:35" ht="13" x14ac:dyDescent="0.3">
      <c r="A91" s="3"/>
      <c r="B91" s="3"/>
      <c r="C91" s="3"/>
      <c r="D91" s="3"/>
      <c r="E91" s="3"/>
      <c r="F91" s="3"/>
      <c r="G91" s="25"/>
      <c r="H91" s="26"/>
      <c r="I91" s="26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 spans="1:35" ht="13" x14ac:dyDescent="0.3">
      <c r="A92" s="3"/>
      <c r="B92" s="3"/>
      <c r="C92" s="3"/>
      <c r="D92" s="3"/>
      <c r="E92" s="3"/>
      <c r="F92" s="3"/>
      <c r="G92" s="25"/>
      <c r="H92" s="26"/>
      <c r="I92" s="26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 spans="1:35" ht="13" x14ac:dyDescent="0.3">
      <c r="A93" s="3"/>
      <c r="B93" s="3"/>
      <c r="C93" s="3"/>
      <c r="D93" s="3"/>
      <c r="E93" s="3"/>
      <c r="F93" s="3"/>
      <c r="G93" s="25"/>
      <c r="H93" s="26"/>
      <c r="I93" s="26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 spans="1:35" ht="13" x14ac:dyDescent="0.3">
      <c r="A94" s="3"/>
      <c r="B94" s="3"/>
      <c r="C94" s="3"/>
      <c r="D94" s="3"/>
      <c r="E94" s="3"/>
      <c r="F94" s="3"/>
      <c r="G94" s="25"/>
      <c r="H94" s="26"/>
      <c r="I94" s="26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 spans="1:35" ht="13" x14ac:dyDescent="0.3">
      <c r="A95" s="3"/>
      <c r="B95" s="3"/>
      <c r="C95" s="3"/>
      <c r="D95" s="3"/>
      <c r="E95" s="3"/>
      <c r="F95" s="3"/>
      <c r="G95" s="25"/>
      <c r="H95" s="26"/>
      <c r="I95" s="26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spans="1:35" ht="13" x14ac:dyDescent="0.3">
      <c r="A96" s="3"/>
      <c r="B96" s="3"/>
      <c r="C96" s="3"/>
      <c r="D96" s="3"/>
      <c r="E96" s="3"/>
      <c r="F96" s="3"/>
      <c r="G96" s="25"/>
      <c r="H96" s="26"/>
      <c r="I96" s="26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spans="1:35" ht="13" x14ac:dyDescent="0.3">
      <c r="A97" s="3"/>
      <c r="B97" s="3"/>
      <c r="C97" s="3"/>
      <c r="D97" s="3"/>
      <c r="E97" s="3"/>
      <c r="F97" s="3"/>
      <c r="G97" s="25"/>
      <c r="H97" s="26"/>
      <c r="I97" s="2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 spans="1:35" ht="13" x14ac:dyDescent="0.3">
      <c r="A98" s="3"/>
      <c r="B98" s="3"/>
      <c r="C98" s="3"/>
      <c r="D98" s="3"/>
      <c r="E98" s="3"/>
      <c r="F98" s="3"/>
      <c r="G98" s="25"/>
      <c r="H98" s="26"/>
      <c r="I98" s="26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 spans="1:35" ht="13" x14ac:dyDescent="0.3">
      <c r="A99" s="3"/>
      <c r="B99" s="3"/>
      <c r="C99" s="3"/>
      <c r="D99" s="3"/>
      <c r="E99" s="3"/>
      <c r="F99" s="3"/>
      <c r="G99" s="25"/>
      <c r="H99" s="26"/>
      <c r="I99" s="26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 spans="1:35" ht="13" x14ac:dyDescent="0.3">
      <c r="A100" s="3"/>
      <c r="B100" s="3"/>
      <c r="C100" s="3"/>
      <c r="D100" s="3"/>
      <c r="E100" s="3"/>
      <c r="F100" s="3"/>
      <c r="G100" s="25"/>
      <c r="H100" s="26"/>
      <c r="I100" s="26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 spans="1:35" ht="13" x14ac:dyDescent="0.3">
      <c r="A101" s="3"/>
      <c r="B101" s="3"/>
      <c r="C101" s="3"/>
      <c r="D101" s="3"/>
      <c r="E101" s="3"/>
      <c r="F101" s="3"/>
      <c r="G101" s="25"/>
      <c r="H101" s="26"/>
      <c r="I101" s="2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 spans="1:35" ht="13" x14ac:dyDescent="0.3">
      <c r="A102" s="3"/>
      <c r="B102" s="3"/>
      <c r="C102" s="3"/>
      <c r="D102" s="3"/>
      <c r="E102" s="3"/>
      <c r="F102" s="3"/>
      <c r="G102" s="25"/>
      <c r="H102" s="26"/>
      <c r="I102" s="26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spans="1:35" ht="13" x14ac:dyDescent="0.3">
      <c r="A103" s="3"/>
      <c r="B103" s="3"/>
      <c r="C103" s="3"/>
      <c r="D103" s="3"/>
      <c r="E103" s="3"/>
      <c r="F103" s="3"/>
      <c r="G103" s="25"/>
      <c r="H103" s="26"/>
      <c r="I103" s="26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 spans="1:35" ht="13" x14ac:dyDescent="0.3">
      <c r="A104" s="3"/>
      <c r="B104" s="3"/>
      <c r="C104" s="3"/>
      <c r="D104" s="3"/>
      <c r="E104" s="3"/>
      <c r="F104" s="3"/>
      <c r="G104" s="25"/>
      <c r="H104" s="26"/>
      <c r="I104" s="26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 spans="1:35" ht="13" x14ac:dyDescent="0.3">
      <c r="A105" s="3"/>
      <c r="B105" s="3"/>
      <c r="C105" s="3"/>
      <c r="D105" s="3"/>
      <c r="E105" s="3"/>
      <c r="F105" s="3"/>
      <c r="G105" s="25"/>
      <c r="H105" s="26"/>
      <c r="I105" s="26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spans="1:35" ht="13" x14ac:dyDescent="0.3">
      <c r="A106" s="3"/>
      <c r="B106" s="3"/>
      <c r="C106" s="3"/>
      <c r="D106" s="3"/>
      <c r="E106" s="3"/>
      <c r="F106" s="3"/>
      <c r="G106" s="25"/>
      <c r="H106" s="26"/>
      <c r="I106" s="26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spans="1:35" ht="13" x14ac:dyDescent="0.3">
      <c r="A107" s="3"/>
      <c r="B107" s="3"/>
      <c r="C107" s="3"/>
      <c r="D107" s="3"/>
      <c r="E107" s="3"/>
      <c r="F107" s="3"/>
      <c r="G107" s="25"/>
      <c r="H107" s="26"/>
      <c r="I107" s="26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spans="1:35" ht="13" x14ac:dyDescent="0.3">
      <c r="A108" s="3"/>
      <c r="B108" s="3"/>
      <c r="C108" s="3"/>
      <c r="D108" s="3"/>
      <c r="E108" s="3"/>
      <c r="F108" s="3"/>
      <c r="G108" s="25"/>
      <c r="H108" s="26"/>
      <c r="I108" s="26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spans="1:35" ht="13" x14ac:dyDescent="0.3">
      <c r="A109" s="3"/>
      <c r="B109" s="3"/>
      <c r="C109" s="3"/>
      <c r="D109" s="3"/>
      <c r="E109" s="3"/>
      <c r="F109" s="3"/>
      <c r="G109" s="25"/>
      <c r="H109" s="26"/>
      <c r="I109" s="26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spans="1:35" ht="13" x14ac:dyDescent="0.3">
      <c r="A110" s="3"/>
      <c r="B110" s="3"/>
      <c r="C110" s="3"/>
      <c r="D110" s="3"/>
      <c r="E110" s="3"/>
      <c r="F110" s="3"/>
      <c r="G110" s="25"/>
      <c r="H110" s="26"/>
      <c r="I110" s="26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 spans="1:35" ht="13" x14ac:dyDescent="0.3">
      <c r="A111" s="3"/>
      <c r="B111" s="3"/>
      <c r="C111" s="3"/>
      <c r="D111" s="3"/>
      <c r="E111" s="3"/>
      <c r="F111" s="3"/>
      <c r="G111" s="25"/>
      <c r="H111" s="26"/>
      <c r="I111" s="26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spans="1:35" ht="13" x14ac:dyDescent="0.3">
      <c r="G112" s="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 spans="7:35" ht="13" x14ac:dyDescent="0.3">
      <c r="G113" s="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 spans="7:35" ht="13" x14ac:dyDescent="0.3">
      <c r="G114" s="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 spans="7:35" ht="13" x14ac:dyDescent="0.3">
      <c r="G115" s="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 spans="7:35" ht="13" x14ac:dyDescent="0.3">
      <c r="G116" s="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 spans="7:35" ht="13" x14ac:dyDescent="0.3">
      <c r="G117" s="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 spans="7:35" ht="13" x14ac:dyDescent="0.3">
      <c r="G118" s="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 spans="7:35" ht="13" x14ac:dyDescent="0.3">
      <c r="G119" s="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 spans="7:35" ht="13" x14ac:dyDescent="0.3">
      <c r="G120" s="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spans="7:35" ht="13" x14ac:dyDescent="0.3">
      <c r="G121" s="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spans="7:35" ht="13" x14ac:dyDescent="0.3">
      <c r="G122" s="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 spans="7:35" x14ac:dyDescent="0.25">
      <c r="G123" s="9"/>
    </row>
    <row r="124" spans="7:35" x14ac:dyDescent="0.25">
      <c r="G124" s="9"/>
    </row>
    <row r="125" spans="7:35" x14ac:dyDescent="0.25">
      <c r="G125" s="9"/>
    </row>
    <row r="126" spans="7:35" x14ac:dyDescent="0.25">
      <c r="G126" s="9"/>
    </row>
    <row r="127" spans="7:35" x14ac:dyDescent="0.25">
      <c r="G127" s="9"/>
    </row>
    <row r="128" spans="7:35" x14ac:dyDescent="0.25">
      <c r="G128" s="9"/>
    </row>
    <row r="129" spans="7:7" x14ac:dyDescent="0.25">
      <c r="G129" s="9"/>
    </row>
    <row r="130" spans="7:7" x14ac:dyDescent="0.25">
      <c r="G130" s="9"/>
    </row>
    <row r="131" spans="7:7" x14ac:dyDescent="0.25">
      <c r="G131" s="9"/>
    </row>
    <row r="132" spans="7:7" x14ac:dyDescent="0.25">
      <c r="G132" s="9"/>
    </row>
    <row r="133" spans="7:7" x14ac:dyDescent="0.25">
      <c r="G133" s="9"/>
    </row>
    <row r="134" spans="7:7" x14ac:dyDescent="0.25">
      <c r="G134" s="9"/>
    </row>
    <row r="135" spans="7:7" x14ac:dyDescent="0.25">
      <c r="G135" s="9"/>
    </row>
    <row r="136" spans="7:7" x14ac:dyDescent="0.25">
      <c r="G136" s="9"/>
    </row>
    <row r="137" spans="7:7" x14ac:dyDescent="0.25">
      <c r="G137" s="9"/>
    </row>
    <row r="138" spans="7:7" x14ac:dyDescent="0.25">
      <c r="G138" s="9"/>
    </row>
    <row r="139" spans="7:7" x14ac:dyDescent="0.25">
      <c r="G139" s="9"/>
    </row>
    <row r="140" spans="7:7" x14ac:dyDescent="0.25">
      <c r="G140" s="9"/>
    </row>
    <row r="141" spans="7:7" x14ac:dyDescent="0.25">
      <c r="G141" s="9"/>
    </row>
    <row r="142" spans="7:7" x14ac:dyDescent="0.25">
      <c r="G142" s="9"/>
    </row>
    <row r="143" spans="7:7" x14ac:dyDescent="0.25">
      <c r="G143" s="9"/>
    </row>
    <row r="144" spans="7:7" x14ac:dyDescent="0.25">
      <c r="G144" s="9"/>
    </row>
    <row r="145" spans="7:7" x14ac:dyDescent="0.25">
      <c r="G145" s="9"/>
    </row>
    <row r="146" spans="7:7" x14ac:dyDescent="0.25">
      <c r="G146" s="9"/>
    </row>
    <row r="147" spans="7:7" x14ac:dyDescent="0.25">
      <c r="G147" s="9"/>
    </row>
    <row r="148" spans="7:7" x14ac:dyDescent="0.25">
      <c r="G148" s="9"/>
    </row>
    <row r="149" spans="7:7" x14ac:dyDescent="0.25">
      <c r="G149" s="9"/>
    </row>
    <row r="150" spans="7:7" x14ac:dyDescent="0.25">
      <c r="G150" s="9"/>
    </row>
    <row r="151" spans="7:7" x14ac:dyDescent="0.25">
      <c r="G151" s="9"/>
    </row>
    <row r="152" spans="7:7" x14ac:dyDescent="0.25">
      <c r="G152" s="9"/>
    </row>
    <row r="153" spans="7:7" x14ac:dyDescent="0.25">
      <c r="G153" s="9"/>
    </row>
    <row r="154" spans="7:7" x14ac:dyDescent="0.25">
      <c r="G154" s="9"/>
    </row>
    <row r="155" spans="7:7" x14ac:dyDescent="0.25">
      <c r="G155" s="9"/>
    </row>
    <row r="156" spans="7:7" x14ac:dyDescent="0.25">
      <c r="G156" s="9"/>
    </row>
    <row r="157" spans="7:7" x14ac:dyDescent="0.25">
      <c r="G157" s="9"/>
    </row>
    <row r="158" spans="7:7" x14ac:dyDescent="0.25">
      <c r="G158" s="9"/>
    </row>
    <row r="159" spans="7:7" x14ac:dyDescent="0.25">
      <c r="G159" s="9"/>
    </row>
    <row r="160" spans="7:7" x14ac:dyDescent="0.25">
      <c r="G160" s="9"/>
    </row>
    <row r="161" spans="7:7" x14ac:dyDescent="0.25">
      <c r="G161" s="9"/>
    </row>
    <row r="162" spans="7:7" x14ac:dyDescent="0.25">
      <c r="G162" s="9"/>
    </row>
    <row r="163" spans="7:7" x14ac:dyDescent="0.25">
      <c r="G163" s="9"/>
    </row>
    <row r="164" spans="7:7" x14ac:dyDescent="0.25">
      <c r="G164" s="9"/>
    </row>
    <row r="165" spans="7:7" x14ac:dyDescent="0.25">
      <c r="G165" s="9"/>
    </row>
    <row r="166" spans="7:7" x14ac:dyDescent="0.25">
      <c r="G166" s="9"/>
    </row>
    <row r="167" spans="7:7" x14ac:dyDescent="0.25">
      <c r="G167" s="9"/>
    </row>
    <row r="168" spans="7:7" x14ac:dyDescent="0.25">
      <c r="G168" s="9"/>
    </row>
    <row r="169" spans="7:7" x14ac:dyDescent="0.25">
      <c r="G169" s="9"/>
    </row>
    <row r="170" spans="7:7" x14ac:dyDescent="0.25">
      <c r="G170" s="9"/>
    </row>
    <row r="171" spans="7:7" x14ac:dyDescent="0.25">
      <c r="G171" s="9"/>
    </row>
    <row r="172" spans="7:7" x14ac:dyDescent="0.25">
      <c r="G172" s="9"/>
    </row>
    <row r="173" spans="7:7" x14ac:dyDescent="0.25">
      <c r="G173" s="9"/>
    </row>
    <row r="174" spans="7:7" x14ac:dyDescent="0.25">
      <c r="G174" s="9"/>
    </row>
    <row r="175" spans="7:7" x14ac:dyDescent="0.25">
      <c r="G175" s="9"/>
    </row>
    <row r="176" spans="7:7" x14ac:dyDescent="0.25">
      <c r="G176" s="9"/>
    </row>
    <row r="177" spans="7:7" x14ac:dyDescent="0.25">
      <c r="G177" s="9"/>
    </row>
    <row r="178" spans="7:7" x14ac:dyDescent="0.25">
      <c r="G178" s="9"/>
    </row>
    <row r="179" spans="7:7" x14ac:dyDescent="0.25">
      <c r="G179" s="9"/>
    </row>
    <row r="180" spans="7:7" x14ac:dyDescent="0.25">
      <c r="G180" s="9"/>
    </row>
    <row r="181" spans="7:7" x14ac:dyDescent="0.25">
      <c r="G181" s="9"/>
    </row>
    <row r="182" spans="7:7" x14ac:dyDescent="0.25">
      <c r="G182" s="9"/>
    </row>
    <row r="183" spans="7:7" x14ac:dyDescent="0.25">
      <c r="G183" s="9"/>
    </row>
    <row r="184" spans="7:7" x14ac:dyDescent="0.25">
      <c r="G184" s="9"/>
    </row>
    <row r="185" spans="7:7" x14ac:dyDescent="0.25">
      <c r="G185" s="9"/>
    </row>
    <row r="186" spans="7:7" x14ac:dyDescent="0.25">
      <c r="G186" s="9"/>
    </row>
    <row r="187" spans="7:7" x14ac:dyDescent="0.25">
      <c r="G187" s="9"/>
    </row>
    <row r="188" spans="7:7" x14ac:dyDescent="0.25">
      <c r="G188" s="9"/>
    </row>
    <row r="189" spans="7:7" x14ac:dyDescent="0.25">
      <c r="G189" s="9"/>
    </row>
    <row r="190" spans="7:7" x14ac:dyDescent="0.25">
      <c r="G190" s="9"/>
    </row>
    <row r="191" spans="7:7" x14ac:dyDescent="0.25">
      <c r="G191" s="9"/>
    </row>
    <row r="192" spans="7:7" x14ac:dyDescent="0.25">
      <c r="G192" s="9"/>
    </row>
    <row r="193" spans="7:7" x14ac:dyDescent="0.25">
      <c r="G193" s="9"/>
    </row>
    <row r="194" spans="7:7" x14ac:dyDescent="0.25">
      <c r="G194" s="9"/>
    </row>
    <row r="195" spans="7:7" x14ac:dyDescent="0.25">
      <c r="G195" s="9"/>
    </row>
    <row r="196" spans="7:7" x14ac:dyDescent="0.25">
      <c r="G196" s="9"/>
    </row>
    <row r="197" spans="7:7" x14ac:dyDescent="0.25">
      <c r="G197" s="9"/>
    </row>
    <row r="198" spans="7:7" x14ac:dyDescent="0.25">
      <c r="G198" s="9"/>
    </row>
    <row r="199" spans="7:7" x14ac:dyDescent="0.25">
      <c r="G199" s="9"/>
    </row>
    <row r="200" spans="7:7" x14ac:dyDescent="0.25">
      <c r="G200" s="9"/>
    </row>
    <row r="201" spans="7:7" x14ac:dyDescent="0.25">
      <c r="G201" s="9"/>
    </row>
    <row r="202" spans="7:7" x14ac:dyDescent="0.25">
      <c r="G202" s="9"/>
    </row>
    <row r="203" spans="7:7" x14ac:dyDescent="0.25">
      <c r="G203" s="9"/>
    </row>
    <row r="204" spans="7:7" x14ac:dyDescent="0.25">
      <c r="G204" s="9"/>
    </row>
    <row r="205" spans="7:7" x14ac:dyDescent="0.25">
      <c r="G205" s="9"/>
    </row>
    <row r="206" spans="7:7" x14ac:dyDescent="0.25">
      <c r="G206" s="9"/>
    </row>
    <row r="207" spans="7:7" x14ac:dyDescent="0.25">
      <c r="G207" s="9"/>
    </row>
    <row r="208" spans="7:7" x14ac:dyDescent="0.25">
      <c r="G208" s="9"/>
    </row>
    <row r="209" spans="7:7" x14ac:dyDescent="0.25">
      <c r="G209" s="9"/>
    </row>
    <row r="210" spans="7:7" x14ac:dyDescent="0.25">
      <c r="G210" s="9"/>
    </row>
    <row r="211" spans="7:7" x14ac:dyDescent="0.25">
      <c r="G211" s="9"/>
    </row>
    <row r="212" spans="7:7" x14ac:dyDescent="0.25">
      <c r="G212" s="9"/>
    </row>
    <row r="213" spans="7:7" x14ac:dyDescent="0.25">
      <c r="G213" s="9"/>
    </row>
    <row r="214" spans="7:7" x14ac:dyDescent="0.25">
      <c r="G214" s="9"/>
    </row>
    <row r="215" spans="7:7" x14ac:dyDescent="0.25">
      <c r="G215" s="9"/>
    </row>
    <row r="216" spans="7:7" x14ac:dyDescent="0.25">
      <c r="G216" s="9"/>
    </row>
    <row r="217" spans="7:7" x14ac:dyDescent="0.25">
      <c r="G217" s="9"/>
    </row>
    <row r="218" spans="7:7" x14ac:dyDescent="0.25">
      <c r="G218" s="9"/>
    </row>
    <row r="219" spans="7:7" x14ac:dyDescent="0.25">
      <c r="G219" s="9"/>
    </row>
    <row r="220" spans="7:7" x14ac:dyDescent="0.25">
      <c r="G220" s="9"/>
    </row>
    <row r="221" spans="7:7" x14ac:dyDescent="0.25">
      <c r="G221" s="9"/>
    </row>
    <row r="222" spans="7:7" x14ac:dyDescent="0.25">
      <c r="G222" s="9"/>
    </row>
    <row r="223" spans="7:7" x14ac:dyDescent="0.25">
      <c r="G223" s="9"/>
    </row>
    <row r="224" spans="7:7" x14ac:dyDescent="0.25">
      <c r="G224" s="9"/>
    </row>
    <row r="225" spans="7:7" x14ac:dyDescent="0.25">
      <c r="G225" s="9"/>
    </row>
    <row r="226" spans="7:7" x14ac:dyDescent="0.25">
      <c r="G226" s="9"/>
    </row>
    <row r="227" spans="7:7" x14ac:dyDescent="0.25">
      <c r="G227" s="9"/>
    </row>
    <row r="228" spans="7:7" x14ac:dyDescent="0.25">
      <c r="G228" s="9"/>
    </row>
    <row r="229" spans="7:7" x14ac:dyDescent="0.25">
      <c r="G229" s="9"/>
    </row>
    <row r="230" spans="7:7" x14ac:dyDescent="0.25">
      <c r="G230" s="9"/>
    </row>
    <row r="231" spans="7:7" x14ac:dyDescent="0.25">
      <c r="G231" s="9"/>
    </row>
    <row r="232" spans="7:7" x14ac:dyDescent="0.25">
      <c r="G232" s="9"/>
    </row>
    <row r="233" spans="7:7" x14ac:dyDescent="0.25">
      <c r="G233" s="9"/>
    </row>
    <row r="234" spans="7:7" x14ac:dyDescent="0.25">
      <c r="G234" s="9"/>
    </row>
    <row r="235" spans="7:7" x14ac:dyDescent="0.25">
      <c r="G235" s="9"/>
    </row>
    <row r="236" spans="7:7" x14ac:dyDescent="0.25">
      <c r="G236" s="9"/>
    </row>
    <row r="237" spans="7:7" x14ac:dyDescent="0.25">
      <c r="G237" s="9"/>
    </row>
    <row r="238" spans="7:7" x14ac:dyDescent="0.25">
      <c r="G238" s="9"/>
    </row>
    <row r="239" spans="7:7" x14ac:dyDescent="0.25">
      <c r="G239" s="9"/>
    </row>
    <row r="240" spans="7:7" x14ac:dyDescent="0.25">
      <c r="G240" s="9"/>
    </row>
    <row r="241" spans="7:7" x14ac:dyDescent="0.25">
      <c r="G241" s="9"/>
    </row>
    <row r="242" spans="7:7" x14ac:dyDescent="0.25">
      <c r="G242" s="9"/>
    </row>
    <row r="243" spans="7:7" x14ac:dyDescent="0.25">
      <c r="G243" s="9"/>
    </row>
    <row r="244" spans="7:7" x14ac:dyDescent="0.25">
      <c r="G244" s="9"/>
    </row>
    <row r="245" spans="7:7" x14ac:dyDescent="0.25">
      <c r="G245" s="9"/>
    </row>
    <row r="246" spans="7:7" x14ac:dyDescent="0.25">
      <c r="G246" s="9"/>
    </row>
    <row r="247" spans="7:7" x14ac:dyDescent="0.25">
      <c r="G247" s="9"/>
    </row>
    <row r="248" spans="7:7" x14ac:dyDescent="0.25">
      <c r="G248" s="9"/>
    </row>
    <row r="249" spans="7:7" x14ac:dyDescent="0.25">
      <c r="G249" s="9"/>
    </row>
    <row r="250" spans="7:7" x14ac:dyDescent="0.25">
      <c r="G250" s="9"/>
    </row>
    <row r="251" spans="7:7" x14ac:dyDescent="0.25">
      <c r="G251" s="9"/>
    </row>
    <row r="252" spans="7:7" x14ac:dyDescent="0.25">
      <c r="G252" s="9"/>
    </row>
    <row r="253" spans="7:7" x14ac:dyDescent="0.25">
      <c r="G253" s="9"/>
    </row>
    <row r="254" spans="7:7" x14ac:dyDescent="0.25">
      <c r="G254" s="9"/>
    </row>
    <row r="255" spans="7:7" x14ac:dyDescent="0.25">
      <c r="G255" s="9"/>
    </row>
    <row r="256" spans="7:7" x14ac:dyDescent="0.25">
      <c r="G256" s="9"/>
    </row>
    <row r="257" spans="7:7" x14ac:dyDescent="0.25">
      <c r="G257" s="9"/>
    </row>
    <row r="258" spans="7:7" x14ac:dyDescent="0.25">
      <c r="G258" s="9"/>
    </row>
    <row r="259" spans="7:7" x14ac:dyDescent="0.25">
      <c r="G259" s="9"/>
    </row>
    <row r="260" spans="7:7" x14ac:dyDescent="0.25">
      <c r="G260" s="9"/>
    </row>
    <row r="261" spans="7:7" x14ac:dyDescent="0.25">
      <c r="G261" s="9"/>
    </row>
    <row r="262" spans="7:7" x14ac:dyDescent="0.25">
      <c r="G262" s="9"/>
    </row>
    <row r="263" spans="7:7" x14ac:dyDescent="0.25">
      <c r="G263" s="9"/>
    </row>
    <row r="264" spans="7:7" x14ac:dyDescent="0.25">
      <c r="G264" s="9"/>
    </row>
    <row r="265" spans="7:7" x14ac:dyDescent="0.25">
      <c r="G265" s="9"/>
    </row>
    <row r="266" spans="7:7" x14ac:dyDescent="0.25">
      <c r="G266" s="9"/>
    </row>
    <row r="267" spans="7:7" x14ac:dyDescent="0.25">
      <c r="G267" s="9"/>
    </row>
    <row r="268" spans="7:7" x14ac:dyDescent="0.25">
      <c r="G268" s="9"/>
    </row>
    <row r="269" spans="7:7" x14ac:dyDescent="0.25">
      <c r="G269" s="9"/>
    </row>
    <row r="270" spans="7:7" x14ac:dyDescent="0.25">
      <c r="G270" s="9"/>
    </row>
    <row r="271" spans="7:7" x14ac:dyDescent="0.25">
      <c r="G271" s="9"/>
    </row>
    <row r="272" spans="7:7" x14ac:dyDescent="0.25">
      <c r="G272" s="9"/>
    </row>
    <row r="273" spans="7:7" x14ac:dyDescent="0.25">
      <c r="G273" s="9"/>
    </row>
    <row r="274" spans="7:7" x14ac:dyDescent="0.25">
      <c r="G274" s="9"/>
    </row>
    <row r="275" spans="7:7" x14ac:dyDescent="0.25">
      <c r="G275" s="9"/>
    </row>
    <row r="276" spans="7:7" x14ac:dyDescent="0.25">
      <c r="G276" s="9"/>
    </row>
    <row r="277" spans="7:7" x14ac:dyDescent="0.25">
      <c r="G277" s="9"/>
    </row>
    <row r="278" spans="7:7" x14ac:dyDescent="0.25">
      <c r="G278" s="9"/>
    </row>
    <row r="279" spans="7:7" x14ac:dyDescent="0.25">
      <c r="G279" s="9"/>
    </row>
    <row r="280" spans="7:7" x14ac:dyDescent="0.25">
      <c r="G280" s="9"/>
    </row>
    <row r="281" spans="7:7" x14ac:dyDescent="0.25">
      <c r="G281" s="9"/>
    </row>
    <row r="282" spans="7:7" x14ac:dyDescent="0.25">
      <c r="G282" s="9"/>
    </row>
    <row r="283" spans="7:7" x14ac:dyDescent="0.25">
      <c r="G283" s="9"/>
    </row>
    <row r="284" spans="7:7" x14ac:dyDescent="0.25">
      <c r="G284" s="9"/>
    </row>
    <row r="285" spans="7:7" x14ac:dyDescent="0.25">
      <c r="G285" s="9"/>
    </row>
    <row r="286" spans="7:7" x14ac:dyDescent="0.25">
      <c r="G286" s="9"/>
    </row>
    <row r="287" spans="7:7" x14ac:dyDescent="0.25">
      <c r="G287" s="9"/>
    </row>
    <row r="288" spans="7:7" x14ac:dyDescent="0.25">
      <c r="G288" s="9"/>
    </row>
    <row r="289" spans="7:7" x14ac:dyDescent="0.25">
      <c r="G289" s="9"/>
    </row>
    <row r="290" spans="7:7" x14ac:dyDescent="0.25">
      <c r="G290" s="9"/>
    </row>
    <row r="291" spans="7:7" x14ac:dyDescent="0.25">
      <c r="G291" s="9"/>
    </row>
    <row r="292" spans="7:7" x14ac:dyDescent="0.25">
      <c r="G292" s="9"/>
    </row>
    <row r="293" spans="7:7" x14ac:dyDescent="0.25">
      <c r="G293" s="9"/>
    </row>
    <row r="294" spans="7:7" x14ac:dyDescent="0.25">
      <c r="G294" s="9"/>
    </row>
    <row r="295" spans="7:7" x14ac:dyDescent="0.25">
      <c r="G295" s="9"/>
    </row>
    <row r="296" spans="7:7" x14ac:dyDescent="0.25">
      <c r="G296" s="9"/>
    </row>
    <row r="297" spans="7:7" x14ac:dyDescent="0.25">
      <c r="G297" s="9"/>
    </row>
    <row r="298" spans="7:7" x14ac:dyDescent="0.25">
      <c r="G298" s="9"/>
    </row>
    <row r="299" spans="7:7" x14ac:dyDescent="0.25">
      <c r="G299" s="9"/>
    </row>
    <row r="300" spans="7:7" x14ac:dyDescent="0.25">
      <c r="G300" s="9"/>
    </row>
    <row r="301" spans="7:7" x14ac:dyDescent="0.25">
      <c r="G301" s="9"/>
    </row>
    <row r="302" spans="7:7" x14ac:dyDescent="0.25">
      <c r="G302" s="9"/>
    </row>
    <row r="303" spans="7:7" x14ac:dyDescent="0.25">
      <c r="G303" s="9"/>
    </row>
    <row r="304" spans="7:7" x14ac:dyDescent="0.25">
      <c r="G304" s="9"/>
    </row>
    <row r="305" spans="7:7" x14ac:dyDescent="0.25">
      <c r="G305" s="9"/>
    </row>
    <row r="306" spans="7:7" x14ac:dyDescent="0.25">
      <c r="G306" s="9"/>
    </row>
    <row r="307" spans="7:7" x14ac:dyDescent="0.25">
      <c r="G307" s="9"/>
    </row>
    <row r="308" spans="7:7" x14ac:dyDescent="0.25">
      <c r="G308" s="9"/>
    </row>
    <row r="309" spans="7:7" x14ac:dyDescent="0.25">
      <c r="G309" s="9"/>
    </row>
    <row r="310" spans="7:7" x14ac:dyDescent="0.25">
      <c r="G310" s="9"/>
    </row>
    <row r="311" spans="7:7" x14ac:dyDescent="0.25">
      <c r="G311" s="9"/>
    </row>
    <row r="312" spans="7:7" x14ac:dyDescent="0.25">
      <c r="G312" s="9"/>
    </row>
    <row r="313" spans="7:7" x14ac:dyDescent="0.25">
      <c r="G313" s="9"/>
    </row>
    <row r="314" spans="7:7" x14ac:dyDescent="0.25">
      <c r="G314" s="9"/>
    </row>
    <row r="315" spans="7:7" x14ac:dyDescent="0.25">
      <c r="G315" s="9"/>
    </row>
    <row r="316" spans="7:7" x14ac:dyDescent="0.25">
      <c r="G316" s="9"/>
    </row>
    <row r="317" spans="7:7" x14ac:dyDescent="0.25">
      <c r="G317" s="9"/>
    </row>
    <row r="318" spans="7:7" x14ac:dyDescent="0.25">
      <c r="G318" s="9"/>
    </row>
    <row r="319" spans="7:7" x14ac:dyDescent="0.25">
      <c r="G319" s="9"/>
    </row>
    <row r="320" spans="7:7" x14ac:dyDescent="0.25">
      <c r="G320" s="9"/>
    </row>
    <row r="321" spans="7:7" x14ac:dyDescent="0.25">
      <c r="G321" s="9"/>
    </row>
    <row r="322" spans="7:7" x14ac:dyDescent="0.25">
      <c r="G322" s="9"/>
    </row>
    <row r="323" spans="7:7" x14ac:dyDescent="0.25">
      <c r="G323" s="9"/>
    </row>
    <row r="324" spans="7:7" x14ac:dyDescent="0.25">
      <c r="G324" s="9"/>
    </row>
    <row r="325" spans="7:7" x14ac:dyDescent="0.25">
      <c r="G325" s="9"/>
    </row>
    <row r="326" spans="7:7" x14ac:dyDescent="0.25">
      <c r="G326" s="9"/>
    </row>
    <row r="327" spans="7:7" x14ac:dyDescent="0.25">
      <c r="G327" s="9"/>
    </row>
    <row r="328" spans="7:7" x14ac:dyDescent="0.25">
      <c r="G328" s="9"/>
    </row>
    <row r="329" spans="7:7" x14ac:dyDescent="0.25">
      <c r="G329" s="9"/>
    </row>
    <row r="330" spans="7:7" x14ac:dyDescent="0.25">
      <c r="G330" s="9"/>
    </row>
    <row r="331" spans="7:7" x14ac:dyDescent="0.25">
      <c r="G331" s="9"/>
    </row>
    <row r="332" spans="7:7" x14ac:dyDescent="0.25">
      <c r="G332" s="9"/>
    </row>
    <row r="333" spans="7:7" x14ac:dyDescent="0.25">
      <c r="G333" s="9"/>
    </row>
    <row r="334" spans="7:7" x14ac:dyDescent="0.25">
      <c r="G334" s="9"/>
    </row>
    <row r="335" spans="7:7" x14ac:dyDescent="0.25">
      <c r="G335" s="9"/>
    </row>
    <row r="336" spans="7:7" x14ac:dyDescent="0.25">
      <c r="G336" s="9"/>
    </row>
    <row r="337" spans="7:7" x14ac:dyDescent="0.25">
      <c r="G337" s="9"/>
    </row>
    <row r="338" spans="7:7" x14ac:dyDescent="0.25">
      <c r="G338" s="9"/>
    </row>
    <row r="339" spans="7:7" x14ac:dyDescent="0.25">
      <c r="G339" s="9"/>
    </row>
    <row r="340" spans="7:7" x14ac:dyDescent="0.25">
      <c r="G340" s="9"/>
    </row>
    <row r="341" spans="7:7" x14ac:dyDescent="0.25">
      <c r="G341" s="9"/>
    </row>
    <row r="342" spans="7:7" x14ac:dyDescent="0.25">
      <c r="G342" s="9"/>
    </row>
    <row r="343" spans="7:7" x14ac:dyDescent="0.25">
      <c r="G343" s="9"/>
    </row>
    <row r="344" spans="7:7" x14ac:dyDescent="0.25">
      <c r="G344" s="9"/>
    </row>
    <row r="345" spans="7:7" x14ac:dyDescent="0.25">
      <c r="G345" s="9"/>
    </row>
    <row r="346" spans="7:7" x14ac:dyDescent="0.25">
      <c r="G346" s="9"/>
    </row>
    <row r="347" spans="7:7" x14ac:dyDescent="0.25">
      <c r="G347" s="9"/>
    </row>
    <row r="348" spans="7:7" x14ac:dyDescent="0.25">
      <c r="G348" s="9"/>
    </row>
    <row r="349" spans="7:7" x14ac:dyDescent="0.25">
      <c r="G349" s="9"/>
    </row>
    <row r="350" spans="7:7" x14ac:dyDescent="0.25">
      <c r="G350" s="9"/>
    </row>
    <row r="351" spans="7:7" x14ac:dyDescent="0.25">
      <c r="G351" s="9"/>
    </row>
    <row r="352" spans="7:7" x14ac:dyDescent="0.25">
      <c r="G352" s="9"/>
    </row>
    <row r="353" spans="7:7" x14ac:dyDescent="0.25">
      <c r="G353" s="9"/>
    </row>
    <row r="354" spans="7:7" x14ac:dyDescent="0.25">
      <c r="G354" s="9"/>
    </row>
    <row r="355" spans="7:7" x14ac:dyDescent="0.25">
      <c r="G355" s="9"/>
    </row>
    <row r="356" spans="7:7" x14ac:dyDescent="0.25">
      <c r="G356" s="9"/>
    </row>
    <row r="357" spans="7:7" x14ac:dyDescent="0.25">
      <c r="G357" s="9"/>
    </row>
    <row r="358" spans="7:7" x14ac:dyDescent="0.25">
      <c r="G358" s="9"/>
    </row>
    <row r="359" spans="7:7" x14ac:dyDescent="0.25">
      <c r="G359" s="9"/>
    </row>
    <row r="360" spans="7:7" x14ac:dyDescent="0.25">
      <c r="G360" s="9"/>
    </row>
    <row r="361" spans="7:7" x14ac:dyDescent="0.25">
      <c r="G361" s="9"/>
    </row>
    <row r="362" spans="7:7" x14ac:dyDescent="0.25">
      <c r="G362" s="9"/>
    </row>
    <row r="363" spans="7:7" x14ac:dyDescent="0.25">
      <c r="G363" s="9"/>
    </row>
    <row r="364" spans="7:7" x14ac:dyDescent="0.25">
      <c r="G364" s="9"/>
    </row>
    <row r="365" spans="7:7" x14ac:dyDescent="0.25">
      <c r="G365" s="9"/>
    </row>
    <row r="366" spans="7:7" x14ac:dyDescent="0.25">
      <c r="G366" s="9"/>
    </row>
    <row r="367" spans="7:7" x14ac:dyDescent="0.25">
      <c r="G367" s="9"/>
    </row>
    <row r="368" spans="7:7" x14ac:dyDescent="0.25">
      <c r="G368" s="9"/>
    </row>
    <row r="369" spans="7:7" x14ac:dyDescent="0.25">
      <c r="G369" s="9"/>
    </row>
    <row r="370" spans="7:7" x14ac:dyDescent="0.25">
      <c r="G370" s="9"/>
    </row>
    <row r="371" spans="7:7" x14ac:dyDescent="0.25">
      <c r="G371" s="9"/>
    </row>
    <row r="372" spans="7:7" x14ac:dyDescent="0.25">
      <c r="G372" s="9"/>
    </row>
    <row r="373" spans="7:7" x14ac:dyDescent="0.25">
      <c r="G373" s="9"/>
    </row>
    <row r="374" spans="7:7" x14ac:dyDescent="0.25">
      <c r="G374" s="9"/>
    </row>
    <row r="375" spans="7:7" x14ac:dyDescent="0.25">
      <c r="G375" s="9"/>
    </row>
    <row r="376" spans="7:7" x14ac:dyDescent="0.25">
      <c r="G376" s="9"/>
    </row>
    <row r="377" spans="7:7" x14ac:dyDescent="0.25">
      <c r="G377" s="9"/>
    </row>
    <row r="378" spans="7:7" x14ac:dyDescent="0.25">
      <c r="G378" s="9"/>
    </row>
    <row r="379" spans="7:7" x14ac:dyDescent="0.25">
      <c r="G379" s="9"/>
    </row>
    <row r="380" spans="7:7" x14ac:dyDescent="0.25">
      <c r="G380" s="9"/>
    </row>
    <row r="381" spans="7:7" x14ac:dyDescent="0.25">
      <c r="G381" s="9"/>
    </row>
    <row r="382" spans="7:7" x14ac:dyDescent="0.25">
      <c r="G382" s="9"/>
    </row>
    <row r="383" spans="7:7" x14ac:dyDescent="0.25">
      <c r="G383" s="9"/>
    </row>
    <row r="384" spans="7:7" x14ac:dyDescent="0.25">
      <c r="G384" s="9"/>
    </row>
    <row r="385" spans="7:7" x14ac:dyDescent="0.25">
      <c r="G385" s="9"/>
    </row>
    <row r="386" spans="7:7" x14ac:dyDescent="0.25">
      <c r="G386" s="9"/>
    </row>
    <row r="387" spans="7:7" x14ac:dyDescent="0.25">
      <c r="G387" s="9"/>
    </row>
    <row r="388" spans="7:7" x14ac:dyDescent="0.25">
      <c r="G388" s="9"/>
    </row>
    <row r="389" spans="7:7" x14ac:dyDescent="0.25">
      <c r="G389" s="9"/>
    </row>
    <row r="390" spans="7:7" x14ac:dyDescent="0.25">
      <c r="G390" s="9"/>
    </row>
    <row r="391" spans="7:7" x14ac:dyDescent="0.25">
      <c r="G391" s="9"/>
    </row>
    <row r="392" spans="7:7" x14ac:dyDescent="0.25">
      <c r="G392" s="9"/>
    </row>
    <row r="393" spans="7:7" x14ac:dyDescent="0.25">
      <c r="G393" s="9"/>
    </row>
    <row r="394" spans="7:7" x14ac:dyDescent="0.25">
      <c r="G394" s="9"/>
    </row>
    <row r="395" spans="7:7" x14ac:dyDescent="0.25">
      <c r="G395" s="9"/>
    </row>
    <row r="396" spans="7:7" x14ac:dyDescent="0.25">
      <c r="G396" s="9"/>
    </row>
    <row r="397" spans="7:7" x14ac:dyDescent="0.25">
      <c r="G397" s="9"/>
    </row>
    <row r="398" spans="7:7" x14ac:dyDescent="0.25">
      <c r="G398" s="9"/>
    </row>
    <row r="399" spans="7:7" x14ac:dyDescent="0.25">
      <c r="G399" s="9"/>
    </row>
    <row r="400" spans="7:7" x14ac:dyDescent="0.25">
      <c r="G400" s="9"/>
    </row>
    <row r="401" spans="7:7" x14ac:dyDescent="0.25">
      <c r="G401" s="9"/>
    </row>
    <row r="402" spans="7:7" x14ac:dyDescent="0.25">
      <c r="G402" s="9"/>
    </row>
    <row r="403" spans="7:7" x14ac:dyDescent="0.25">
      <c r="G403" s="9"/>
    </row>
    <row r="404" spans="7:7" x14ac:dyDescent="0.25">
      <c r="G404" s="9"/>
    </row>
    <row r="405" spans="7:7" x14ac:dyDescent="0.25">
      <c r="G405" s="9"/>
    </row>
    <row r="406" spans="7:7" x14ac:dyDescent="0.25">
      <c r="G406" s="9"/>
    </row>
    <row r="407" spans="7:7" x14ac:dyDescent="0.25">
      <c r="G407" s="9"/>
    </row>
    <row r="408" spans="7:7" x14ac:dyDescent="0.25">
      <c r="G408" s="9"/>
    </row>
    <row r="409" spans="7:7" x14ac:dyDescent="0.25">
      <c r="G409" s="9"/>
    </row>
    <row r="410" spans="7:7" x14ac:dyDescent="0.25">
      <c r="G410" s="9"/>
    </row>
    <row r="411" spans="7:7" x14ac:dyDescent="0.25">
      <c r="G411" s="9"/>
    </row>
    <row r="412" spans="7:7" x14ac:dyDescent="0.25">
      <c r="G412" s="9"/>
    </row>
    <row r="413" spans="7:7" x14ac:dyDescent="0.25">
      <c r="G413" s="9"/>
    </row>
    <row r="414" spans="7:7" x14ac:dyDescent="0.25">
      <c r="G414" s="9"/>
    </row>
    <row r="415" spans="7:7" x14ac:dyDescent="0.25">
      <c r="G415" s="9"/>
    </row>
    <row r="416" spans="7:7" x14ac:dyDescent="0.25">
      <c r="G416" s="9"/>
    </row>
    <row r="417" spans="7:7" x14ac:dyDescent="0.25">
      <c r="G417" s="9"/>
    </row>
    <row r="418" spans="7:7" x14ac:dyDescent="0.25">
      <c r="G418" s="9"/>
    </row>
    <row r="419" spans="7:7" x14ac:dyDescent="0.25">
      <c r="G419" s="9"/>
    </row>
    <row r="420" spans="7:7" x14ac:dyDescent="0.25">
      <c r="G420" s="9"/>
    </row>
    <row r="421" spans="7:7" x14ac:dyDescent="0.25">
      <c r="G421" s="9"/>
    </row>
    <row r="422" spans="7:7" x14ac:dyDescent="0.25">
      <c r="G422" s="9"/>
    </row>
    <row r="423" spans="7:7" x14ac:dyDescent="0.25">
      <c r="G423" s="9"/>
    </row>
    <row r="424" spans="7:7" x14ac:dyDescent="0.25">
      <c r="G424" s="9"/>
    </row>
    <row r="425" spans="7:7" x14ac:dyDescent="0.25">
      <c r="G425" s="9"/>
    </row>
    <row r="426" spans="7:7" x14ac:dyDescent="0.25">
      <c r="G426" s="9"/>
    </row>
    <row r="427" spans="7:7" x14ac:dyDescent="0.25">
      <c r="G427" s="9"/>
    </row>
    <row r="428" spans="7:7" x14ac:dyDescent="0.25">
      <c r="G428" s="9"/>
    </row>
    <row r="429" spans="7:7" x14ac:dyDescent="0.25">
      <c r="G429" s="9"/>
    </row>
    <row r="430" spans="7:7" x14ac:dyDescent="0.25">
      <c r="G430" s="9"/>
    </row>
    <row r="431" spans="7:7" x14ac:dyDescent="0.25">
      <c r="G431" s="9"/>
    </row>
    <row r="432" spans="7:7" x14ac:dyDescent="0.25">
      <c r="G432" s="9"/>
    </row>
    <row r="433" spans="7:7" x14ac:dyDescent="0.25">
      <c r="G433" s="9"/>
    </row>
    <row r="434" spans="7:7" x14ac:dyDescent="0.25">
      <c r="G434" s="9"/>
    </row>
    <row r="435" spans="7:7" x14ac:dyDescent="0.25">
      <c r="G435" s="9"/>
    </row>
    <row r="436" spans="7:7" x14ac:dyDescent="0.25">
      <c r="G436" s="9"/>
    </row>
    <row r="437" spans="7:7" x14ac:dyDescent="0.25">
      <c r="G437" s="9"/>
    </row>
    <row r="438" spans="7:7" x14ac:dyDescent="0.25">
      <c r="G438" s="9"/>
    </row>
    <row r="439" spans="7:7" x14ac:dyDescent="0.25">
      <c r="G439" s="9"/>
    </row>
    <row r="440" spans="7:7" x14ac:dyDescent="0.25">
      <c r="G440" s="9"/>
    </row>
    <row r="441" spans="7:7" x14ac:dyDescent="0.25">
      <c r="G441" s="9"/>
    </row>
    <row r="442" spans="7:7" x14ac:dyDescent="0.25">
      <c r="G442" s="9"/>
    </row>
    <row r="443" spans="7:7" x14ac:dyDescent="0.25">
      <c r="G443" s="9"/>
    </row>
    <row r="444" spans="7:7" x14ac:dyDescent="0.25">
      <c r="G444" s="9"/>
    </row>
    <row r="445" spans="7:7" x14ac:dyDescent="0.25">
      <c r="G445" s="9"/>
    </row>
    <row r="446" spans="7:7" x14ac:dyDescent="0.25">
      <c r="G446" s="9"/>
    </row>
    <row r="447" spans="7:7" x14ac:dyDescent="0.25">
      <c r="G447" s="9"/>
    </row>
    <row r="448" spans="7:7" x14ac:dyDescent="0.25">
      <c r="G448" s="9"/>
    </row>
    <row r="449" spans="7:7" x14ac:dyDescent="0.25">
      <c r="G449" s="9"/>
    </row>
    <row r="450" spans="7:7" x14ac:dyDescent="0.25">
      <c r="G450" s="9"/>
    </row>
    <row r="451" spans="7:7" x14ac:dyDescent="0.25">
      <c r="G451" s="9"/>
    </row>
    <row r="452" spans="7:7" x14ac:dyDescent="0.25">
      <c r="G452" s="9"/>
    </row>
    <row r="453" spans="7:7" x14ac:dyDescent="0.25">
      <c r="G453" s="9"/>
    </row>
    <row r="454" spans="7:7" x14ac:dyDescent="0.25">
      <c r="G454" s="9"/>
    </row>
    <row r="455" spans="7:7" x14ac:dyDescent="0.25">
      <c r="G455" s="9"/>
    </row>
    <row r="456" spans="7:7" x14ac:dyDescent="0.25">
      <c r="G456" s="9"/>
    </row>
    <row r="457" spans="7:7" x14ac:dyDescent="0.25">
      <c r="G457" s="9"/>
    </row>
    <row r="458" spans="7:7" x14ac:dyDescent="0.25">
      <c r="G458" s="9"/>
    </row>
    <row r="459" spans="7:7" x14ac:dyDescent="0.25">
      <c r="G459" s="9"/>
    </row>
    <row r="460" spans="7:7" x14ac:dyDescent="0.25">
      <c r="G460" s="9"/>
    </row>
    <row r="461" spans="7:7" x14ac:dyDescent="0.25">
      <c r="G461" s="9"/>
    </row>
    <row r="462" spans="7:7" x14ac:dyDescent="0.25">
      <c r="G462" s="9"/>
    </row>
    <row r="463" spans="7:7" x14ac:dyDescent="0.25">
      <c r="G463" s="9"/>
    </row>
    <row r="464" spans="7:7" x14ac:dyDescent="0.25">
      <c r="G464" s="9"/>
    </row>
    <row r="465" spans="7:7" x14ac:dyDescent="0.25">
      <c r="G465" s="9"/>
    </row>
    <row r="466" spans="7:7" x14ac:dyDescent="0.25">
      <c r="G466" s="9"/>
    </row>
    <row r="467" spans="7:7" x14ac:dyDescent="0.25">
      <c r="G467" s="9"/>
    </row>
    <row r="468" spans="7:7" x14ac:dyDescent="0.25">
      <c r="G468" s="9"/>
    </row>
    <row r="469" spans="7:7" x14ac:dyDescent="0.25">
      <c r="G469" s="9"/>
    </row>
    <row r="470" spans="7:7" x14ac:dyDescent="0.25">
      <c r="G470" s="9"/>
    </row>
    <row r="471" spans="7:7" x14ac:dyDescent="0.25">
      <c r="G471" s="9"/>
    </row>
    <row r="472" spans="7:7" x14ac:dyDescent="0.25">
      <c r="G472" s="9"/>
    </row>
    <row r="473" spans="7:7" x14ac:dyDescent="0.25">
      <c r="G473" s="9"/>
    </row>
    <row r="474" spans="7:7" x14ac:dyDescent="0.25">
      <c r="G474" s="9"/>
    </row>
    <row r="475" spans="7:7" x14ac:dyDescent="0.25">
      <c r="G475" s="9"/>
    </row>
    <row r="476" spans="7:7" x14ac:dyDescent="0.25">
      <c r="G476" s="9"/>
    </row>
    <row r="477" spans="7:7" x14ac:dyDescent="0.25">
      <c r="G477" s="9"/>
    </row>
    <row r="478" spans="7:7" x14ac:dyDescent="0.25">
      <c r="G478" s="9"/>
    </row>
    <row r="479" spans="7:7" x14ac:dyDescent="0.25">
      <c r="G479" s="9"/>
    </row>
    <row r="480" spans="7:7" x14ac:dyDescent="0.25">
      <c r="G480" s="9"/>
    </row>
    <row r="481" spans="7:7" x14ac:dyDescent="0.25">
      <c r="G481" s="9"/>
    </row>
    <row r="482" spans="7:7" x14ac:dyDescent="0.25">
      <c r="G482" s="9"/>
    </row>
    <row r="483" spans="7:7" x14ac:dyDescent="0.25">
      <c r="G483" s="9"/>
    </row>
    <row r="484" spans="7:7" x14ac:dyDescent="0.25">
      <c r="G484" s="9"/>
    </row>
    <row r="485" spans="7:7" x14ac:dyDescent="0.25">
      <c r="G485" s="9"/>
    </row>
    <row r="486" spans="7:7" x14ac:dyDescent="0.25">
      <c r="G486" s="9"/>
    </row>
    <row r="487" spans="7:7" x14ac:dyDescent="0.25">
      <c r="G487" s="9"/>
    </row>
    <row r="488" spans="7:7" x14ac:dyDescent="0.25">
      <c r="G488" s="9"/>
    </row>
    <row r="489" spans="7:7" x14ac:dyDescent="0.25">
      <c r="G489" s="9"/>
    </row>
    <row r="490" spans="7:7" x14ac:dyDescent="0.25">
      <c r="G490" s="9"/>
    </row>
    <row r="491" spans="7:7" x14ac:dyDescent="0.25">
      <c r="G491" s="9"/>
    </row>
    <row r="492" spans="7:7" x14ac:dyDescent="0.25">
      <c r="G492" s="9"/>
    </row>
    <row r="493" spans="7:7" x14ac:dyDescent="0.25">
      <c r="G493" s="9"/>
    </row>
    <row r="494" spans="7:7" x14ac:dyDescent="0.25">
      <c r="G494" s="9"/>
    </row>
    <row r="495" spans="7:7" x14ac:dyDescent="0.25">
      <c r="G495" s="9"/>
    </row>
    <row r="496" spans="7:7" x14ac:dyDescent="0.25">
      <c r="G496" s="9"/>
    </row>
    <row r="497" spans="7:7" x14ac:dyDescent="0.25">
      <c r="G497" s="9"/>
    </row>
    <row r="498" spans="7:7" x14ac:dyDescent="0.25">
      <c r="G498" s="9"/>
    </row>
    <row r="499" spans="7:7" x14ac:dyDescent="0.25">
      <c r="G499" s="9"/>
    </row>
    <row r="500" spans="7:7" x14ac:dyDescent="0.25">
      <c r="G500" s="9"/>
    </row>
    <row r="501" spans="7:7" x14ac:dyDescent="0.25">
      <c r="G501" s="9"/>
    </row>
    <row r="502" spans="7:7" x14ac:dyDescent="0.25">
      <c r="G502" s="9"/>
    </row>
    <row r="503" spans="7:7" x14ac:dyDescent="0.25">
      <c r="G503" s="9"/>
    </row>
    <row r="504" spans="7:7" x14ac:dyDescent="0.25">
      <c r="G504" s="9"/>
    </row>
    <row r="505" spans="7:7" x14ac:dyDescent="0.25">
      <c r="G505" s="9"/>
    </row>
    <row r="506" spans="7:7" x14ac:dyDescent="0.25">
      <c r="G506" s="9"/>
    </row>
    <row r="507" spans="7:7" x14ac:dyDescent="0.25">
      <c r="G507" s="9"/>
    </row>
    <row r="508" spans="7:7" x14ac:dyDescent="0.25">
      <c r="G508" s="9"/>
    </row>
    <row r="509" spans="7:7" x14ac:dyDescent="0.25">
      <c r="G509" s="9"/>
    </row>
    <row r="510" spans="7:7" x14ac:dyDescent="0.25">
      <c r="G510" s="9"/>
    </row>
    <row r="511" spans="7:7" x14ac:dyDescent="0.25">
      <c r="G511" s="9"/>
    </row>
    <row r="512" spans="7:7" x14ac:dyDescent="0.25">
      <c r="G512" s="9"/>
    </row>
    <row r="513" spans="7:7" x14ac:dyDescent="0.25">
      <c r="G513" s="9"/>
    </row>
    <row r="514" spans="7:7" x14ac:dyDescent="0.25">
      <c r="G514" s="9"/>
    </row>
    <row r="515" spans="7:7" x14ac:dyDescent="0.25">
      <c r="G515" s="9"/>
    </row>
    <row r="516" spans="7:7" x14ac:dyDescent="0.25">
      <c r="G516" s="9"/>
    </row>
    <row r="517" spans="7:7" x14ac:dyDescent="0.25">
      <c r="G517" s="9"/>
    </row>
    <row r="518" spans="7:7" x14ac:dyDescent="0.25">
      <c r="G518" s="9"/>
    </row>
    <row r="519" spans="7:7" x14ac:dyDescent="0.25">
      <c r="G519" s="9"/>
    </row>
    <row r="520" spans="7:7" x14ac:dyDescent="0.25">
      <c r="G520" s="9"/>
    </row>
    <row r="521" spans="7:7" x14ac:dyDescent="0.25">
      <c r="G521" s="9"/>
    </row>
    <row r="522" spans="7:7" x14ac:dyDescent="0.25">
      <c r="G522" s="9"/>
    </row>
    <row r="523" spans="7:7" x14ac:dyDescent="0.25">
      <c r="G523" s="9"/>
    </row>
    <row r="524" spans="7:7" x14ac:dyDescent="0.25">
      <c r="G524" s="9"/>
    </row>
    <row r="525" spans="7:7" x14ac:dyDescent="0.25">
      <c r="G525" s="9"/>
    </row>
    <row r="526" spans="7:7" x14ac:dyDescent="0.25">
      <c r="G526" s="9"/>
    </row>
    <row r="527" spans="7:7" x14ac:dyDescent="0.25">
      <c r="G527" s="9"/>
    </row>
    <row r="528" spans="7:7" x14ac:dyDescent="0.25">
      <c r="G528" s="9"/>
    </row>
    <row r="529" spans="7:7" x14ac:dyDescent="0.25">
      <c r="G529" s="9"/>
    </row>
    <row r="530" spans="7:7" x14ac:dyDescent="0.25">
      <c r="G530" s="9"/>
    </row>
    <row r="531" spans="7:7" x14ac:dyDescent="0.25">
      <c r="G531" s="9"/>
    </row>
    <row r="532" spans="7:7" x14ac:dyDescent="0.25">
      <c r="G532" s="9"/>
    </row>
    <row r="533" spans="7:7" x14ac:dyDescent="0.25">
      <c r="G533" s="9"/>
    </row>
    <row r="534" spans="7:7" x14ac:dyDescent="0.25">
      <c r="G534" s="9"/>
    </row>
    <row r="535" spans="7:7" x14ac:dyDescent="0.25">
      <c r="G535" s="9"/>
    </row>
    <row r="536" spans="7:7" x14ac:dyDescent="0.25">
      <c r="G536" s="9"/>
    </row>
    <row r="537" spans="7:7" x14ac:dyDescent="0.25">
      <c r="G537" s="9"/>
    </row>
    <row r="538" spans="7:7" x14ac:dyDescent="0.25">
      <c r="G538" s="9"/>
    </row>
    <row r="539" spans="7:7" x14ac:dyDescent="0.25">
      <c r="G539" s="9"/>
    </row>
    <row r="540" spans="7:7" x14ac:dyDescent="0.25">
      <c r="G540" s="9"/>
    </row>
    <row r="541" spans="7:7" x14ac:dyDescent="0.25">
      <c r="G541" s="9"/>
    </row>
    <row r="542" spans="7:7" x14ac:dyDescent="0.25">
      <c r="G542" s="9"/>
    </row>
    <row r="543" spans="7:7" x14ac:dyDescent="0.25">
      <c r="G543" s="9"/>
    </row>
    <row r="544" spans="7:7" x14ac:dyDescent="0.25">
      <c r="G544" s="9"/>
    </row>
    <row r="545" spans="7:7" x14ac:dyDescent="0.25">
      <c r="G545" s="9"/>
    </row>
    <row r="546" spans="7:7" x14ac:dyDescent="0.25">
      <c r="G546" s="9"/>
    </row>
    <row r="547" spans="7:7" x14ac:dyDescent="0.25">
      <c r="G547" s="9"/>
    </row>
    <row r="548" spans="7:7" x14ac:dyDescent="0.25">
      <c r="G548" s="9"/>
    </row>
    <row r="549" spans="7:7" x14ac:dyDescent="0.25">
      <c r="G549" s="9"/>
    </row>
    <row r="550" spans="7:7" x14ac:dyDescent="0.25">
      <c r="G550" s="9"/>
    </row>
    <row r="551" spans="7:7" x14ac:dyDescent="0.25">
      <c r="G551" s="9"/>
    </row>
    <row r="552" spans="7:7" x14ac:dyDescent="0.25">
      <c r="G552" s="9"/>
    </row>
    <row r="553" spans="7:7" x14ac:dyDescent="0.25">
      <c r="G553" s="9"/>
    </row>
    <row r="554" spans="7:7" x14ac:dyDescent="0.25">
      <c r="G554" s="9"/>
    </row>
    <row r="555" spans="7:7" x14ac:dyDescent="0.25">
      <c r="G555" s="9"/>
    </row>
    <row r="556" spans="7:7" x14ac:dyDescent="0.25">
      <c r="G556" s="9"/>
    </row>
    <row r="557" spans="7:7" x14ac:dyDescent="0.25">
      <c r="G557" s="9"/>
    </row>
    <row r="558" spans="7:7" x14ac:dyDescent="0.25">
      <c r="G558" s="9"/>
    </row>
    <row r="559" spans="7:7" x14ac:dyDescent="0.25">
      <c r="G559" s="9"/>
    </row>
    <row r="560" spans="7:7" x14ac:dyDescent="0.25">
      <c r="G560" s="9"/>
    </row>
    <row r="561" spans="7:7" x14ac:dyDescent="0.25">
      <c r="G561" s="9"/>
    </row>
    <row r="562" spans="7:7" x14ac:dyDescent="0.25">
      <c r="G562" s="9"/>
    </row>
    <row r="563" spans="7:7" x14ac:dyDescent="0.25">
      <c r="G563" s="9"/>
    </row>
    <row r="564" spans="7:7" x14ac:dyDescent="0.25">
      <c r="G564" s="9"/>
    </row>
    <row r="565" spans="7:7" x14ac:dyDescent="0.25">
      <c r="G565" s="9"/>
    </row>
    <row r="566" spans="7:7" x14ac:dyDescent="0.25">
      <c r="G566" s="9"/>
    </row>
    <row r="567" spans="7:7" x14ac:dyDescent="0.25">
      <c r="G567" s="9"/>
    </row>
    <row r="568" spans="7:7" x14ac:dyDescent="0.25">
      <c r="G568" s="9"/>
    </row>
    <row r="569" spans="7:7" x14ac:dyDescent="0.25">
      <c r="G569" s="9"/>
    </row>
    <row r="570" spans="7:7" x14ac:dyDescent="0.25">
      <c r="G570" s="9"/>
    </row>
    <row r="571" spans="7:7" x14ac:dyDescent="0.25">
      <c r="G571" s="9"/>
    </row>
    <row r="572" spans="7:7" x14ac:dyDescent="0.25">
      <c r="G572" s="9"/>
    </row>
    <row r="573" spans="7:7" x14ac:dyDescent="0.25">
      <c r="G573" s="9"/>
    </row>
    <row r="574" spans="7:7" x14ac:dyDescent="0.25">
      <c r="G574" s="9"/>
    </row>
    <row r="575" spans="7:7" x14ac:dyDescent="0.25">
      <c r="G575" s="9"/>
    </row>
    <row r="576" spans="7:7" x14ac:dyDescent="0.25">
      <c r="G576" s="9"/>
    </row>
    <row r="577" spans="7:7" x14ac:dyDescent="0.25">
      <c r="G577" s="9"/>
    </row>
    <row r="578" spans="7:7" x14ac:dyDescent="0.25">
      <c r="G578" s="9"/>
    </row>
    <row r="579" spans="7:7" x14ac:dyDescent="0.25">
      <c r="G579" s="9"/>
    </row>
    <row r="580" spans="7:7" x14ac:dyDescent="0.25">
      <c r="G580" s="9"/>
    </row>
    <row r="581" spans="7:7" x14ac:dyDescent="0.25">
      <c r="G581" s="9"/>
    </row>
    <row r="582" spans="7:7" x14ac:dyDescent="0.25">
      <c r="G582" s="9"/>
    </row>
    <row r="583" spans="7:7" x14ac:dyDescent="0.25">
      <c r="G583" s="9"/>
    </row>
    <row r="584" spans="7:7" x14ac:dyDescent="0.25">
      <c r="G584" s="9"/>
    </row>
    <row r="585" spans="7:7" x14ac:dyDescent="0.25">
      <c r="G585" s="9"/>
    </row>
    <row r="586" spans="7:7" x14ac:dyDescent="0.25">
      <c r="G586" s="9"/>
    </row>
    <row r="587" spans="7:7" x14ac:dyDescent="0.25">
      <c r="G587" s="9"/>
    </row>
    <row r="588" spans="7:7" x14ac:dyDescent="0.25">
      <c r="G588" s="9"/>
    </row>
    <row r="589" spans="7:7" x14ac:dyDescent="0.25">
      <c r="G589" s="9"/>
    </row>
    <row r="590" spans="7:7" x14ac:dyDescent="0.25">
      <c r="G590" s="9"/>
    </row>
    <row r="591" spans="7:7" x14ac:dyDescent="0.25">
      <c r="G591" s="9"/>
    </row>
    <row r="592" spans="7:7" x14ac:dyDescent="0.25">
      <c r="G592" s="9"/>
    </row>
    <row r="593" spans="7:7" x14ac:dyDescent="0.25">
      <c r="G593" s="9"/>
    </row>
    <row r="594" spans="7:7" x14ac:dyDescent="0.25">
      <c r="G594" s="9"/>
    </row>
    <row r="595" spans="7:7" x14ac:dyDescent="0.25">
      <c r="G595" s="9"/>
    </row>
    <row r="596" spans="7:7" x14ac:dyDescent="0.25">
      <c r="G596" s="9"/>
    </row>
    <row r="597" spans="7:7" x14ac:dyDescent="0.25">
      <c r="G597" s="9"/>
    </row>
    <row r="598" spans="7:7" x14ac:dyDescent="0.25">
      <c r="G598" s="9"/>
    </row>
    <row r="599" spans="7:7" x14ac:dyDescent="0.25">
      <c r="G599" s="9"/>
    </row>
    <row r="600" spans="7:7" x14ac:dyDescent="0.25">
      <c r="G600" s="9"/>
    </row>
    <row r="601" spans="7:7" x14ac:dyDescent="0.25">
      <c r="G601" s="9"/>
    </row>
    <row r="602" spans="7:7" x14ac:dyDescent="0.25">
      <c r="G602" s="9"/>
    </row>
    <row r="603" spans="7:7" x14ac:dyDescent="0.25">
      <c r="G603" s="9"/>
    </row>
    <row r="604" spans="7:7" x14ac:dyDescent="0.25">
      <c r="G604" s="9"/>
    </row>
    <row r="605" spans="7:7" x14ac:dyDescent="0.25">
      <c r="G605" s="9"/>
    </row>
    <row r="606" spans="7:7" x14ac:dyDescent="0.25">
      <c r="G606" s="9"/>
    </row>
    <row r="607" spans="7:7" x14ac:dyDescent="0.25">
      <c r="G607" s="9"/>
    </row>
    <row r="608" spans="7:7" x14ac:dyDescent="0.25">
      <c r="G608" s="9"/>
    </row>
    <row r="609" spans="7:7" x14ac:dyDescent="0.25">
      <c r="G609" s="9"/>
    </row>
    <row r="610" spans="7:7" x14ac:dyDescent="0.25">
      <c r="G610" s="9"/>
    </row>
    <row r="611" spans="7:7" x14ac:dyDescent="0.25">
      <c r="G611" s="9"/>
    </row>
    <row r="612" spans="7:7" x14ac:dyDescent="0.25">
      <c r="G612" s="9"/>
    </row>
    <row r="613" spans="7:7" x14ac:dyDescent="0.25">
      <c r="G613" s="9"/>
    </row>
    <row r="614" spans="7:7" x14ac:dyDescent="0.25">
      <c r="G614" s="9"/>
    </row>
    <row r="615" spans="7:7" x14ac:dyDescent="0.25">
      <c r="G615" s="9"/>
    </row>
    <row r="616" spans="7:7" x14ac:dyDescent="0.25">
      <c r="G616" s="9"/>
    </row>
    <row r="617" spans="7:7" x14ac:dyDescent="0.25">
      <c r="G617" s="9"/>
    </row>
    <row r="618" spans="7:7" x14ac:dyDescent="0.25">
      <c r="G618" s="9"/>
    </row>
    <row r="619" spans="7:7" x14ac:dyDescent="0.25">
      <c r="G619" s="9"/>
    </row>
    <row r="620" spans="7:7" x14ac:dyDescent="0.25">
      <c r="G620" s="9"/>
    </row>
    <row r="621" spans="7:7" x14ac:dyDescent="0.25">
      <c r="G621" s="9"/>
    </row>
    <row r="622" spans="7:7" x14ac:dyDescent="0.25">
      <c r="G622" s="9"/>
    </row>
    <row r="623" spans="7:7" x14ac:dyDescent="0.25">
      <c r="G623" s="9"/>
    </row>
    <row r="624" spans="7:7" x14ac:dyDescent="0.25">
      <c r="G624" s="9"/>
    </row>
    <row r="625" spans="7:7" x14ac:dyDescent="0.25">
      <c r="G625" s="9"/>
    </row>
    <row r="626" spans="7:7" x14ac:dyDescent="0.25">
      <c r="G626" s="9"/>
    </row>
    <row r="627" spans="7:7" x14ac:dyDescent="0.25">
      <c r="G627" s="9"/>
    </row>
    <row r="628" spans="7:7" x14ac:dyDescent="0.25">
      <c r="G628" s="9"/>
    </row>
    <row r="629" spans="7:7" x14ac:dyDescent="0.25">
      <c r="G629" s="9"/>
    </row>
    <row r="630" spans="7:7" x14ac:dyDescent="0.25">
      <c r="G630" s="9"/>
    </row>
    <row r="631" spans="7:7" x14ac:dyDescent="0.25">
      <c r="G631" s="9"/>
    </row>
    <row r="632" spans="7:7" x14ac:dyDescent="0.25">
      <c r="G632" s="9"/>
    </row>
    <row r="633" spans="7:7" x14ac:dyDescent="0.25">
      <c r="G633" s="9"/>
    </row>
    <row r="634" spans="7:7" x14ac:dyDescent="0.25">
      <c r="G634" s="9"/>
    </row>
    <row r="635" spans="7:7" x14ac:dyDescent="0.25">
      <c r="G635" s="9"/>
    </row>
    <row r="636" spans="7:7" x14ac:dyDescent="0.25">
      <c r="G636" s="9"/>
    </row>
    <row r="637" spans="7:7" x14ac:dyDescent="0.25">
      <c r="G637" s="9"/>
    </row>
    <row r="638" spans="7:7" x14ac:dyDescent="0.25">
      <c r="G638" s="9"/>
    </row>
    <row r="639" spans="7:7" x14ac:dyDescent="0.25">
      <c r="G639" s="9"/>
    </row>
    <row r="640" spans="7:7" x14ac:dyDescent="0.25">
      <c r="G640" s="9"/>
    </row>
    <row r="641" spans="7:7" x14ac:dyDescent="0.25">
      <c r="G641" s="9"/>
    </row>
    <row r="642" spans="7:7" x14ac:dyDescent="0.25">
      <c r="G642" s="9"/>
    </row>
    <row r="643" spans="7:7" x14ac:dyDescent="0.25">
      <c r="G643" s="9"/>
    </row>
    <row r="644" spans="7:7" x14ac:dyDescent="0.25">
      <c r="G644" s="9"/>
    </row>
    <row r="645" spans="7:7" x14ac:dyDescent="0.25">
      <c r="G645" s="9"/>
    </row>
    <row r="646" spans="7:7" x14ac:dyDescent="0.25">
      <c r="G646" s="9"/>
    </row>
    <row r="647" spans="7:7" x14ac:dyDescent="0.25">
      <c r="G647" s="9"/>
    </row>
    <row r="648" spans="7:7" x14ac:dyDescent="0.25">
      <c r="G648" s="9"/>
    </row>
    <row r="649" spans="7:7" x14ac:dyDescent="0.25">
      <c r="G649" s="9"/>
    </row>
    <row r="650" spans="7:7" x14ac:dyDescent="0.25">
      <c r="G650" s="9"/>
    </row>
    <row r="651" spans="7:7" x14ac:dyDescent="0.25">
      <c r="G651" s="9"/>
    </row>
    <row r="652" spans="7:7" x14ac:dyDescent="0.25">
      <c r="G652" s="9"/>
    </row>
    <row r="653" spans="7:7" x14ac:dyDescent="0.25">
      <c r="G653" s="9"/>
    </row>
    <row r="654" spans="7:7" x14ac:dyDescent="0.25">
      <c r="G654" s="9"/>
    </row>
    <row r="655" spans="7:7" x14ac:dyDescent="0.25">
      <c r="G655" s="9"/>
    </row>
    <row r="656" spans="7:7" x14ac:dyDescent="0.25">
      <c r="G656" s="9"/>
    </row>
    <row r="657" spans="7:7" x14ac:dyDescent="0.25">
      <c r="G657" s="9"/>
    </row>
    <row r="658" spans="7:7" x14ac:dyDescent="0.25">
      <c r="G658" s="9"/>
    </row>
    <row r="659" spans="7:7" x14ac:dyDescent="0.25">
      <c r="G659" s="9"/>
    </row>
    <row r="660" spans="7:7" x14ac:dyDescent="0.25">
      <c r="G660" s="9"/>
    </row>
    <row r="661" spans="7:7" x14ac:dyDescent="0.25">
      <c r="G661" s="9"/>
    </row>
    <row r="662" spans="7:7" x14ac:dyDescent="0.25">
      <c r="G662" s="9"/>
    </row>
    <row r="663" spans="7:7" x14ac:dyDescent="0.25">
      <c r="G663" s="9"/>
    </row>
    <row r="664" spans="7:7" x14ac:dyDescent="0.25">
      <c r="G664" s="9"/>
    </row>
    <row r="665" spans="7:7" x14ac:dyDescent="0.25">
      <c r="G665" s="9"/>
    </row>
    <row r="666" spans="7:7" x14ac:dyDescent="0.25">
      <c r="G666" s="9"/>
    </row>
    <row r="667" spans="7:7" x14ac:dyDescent="0.25">
      <c r="G667" s="9"/>
    </row>
    <row r="668" spans="7:7" x14ac:dyDescent="0.25">
      <c r="G668" s="9"/>
    </row>
    <row r="669" spans="7:7" x14ac:dyDescent="0.25">
      <c r="G669" s="9"/>
    </row>
    <row r="670" spans="7:7" x14ac:dyDescent="0.25">
      <c r="G670" s="9"/>
    </row>
    <row r="671" spans="7:7" x14ac:dyDescent="0.25">
      <c r="G671" s="9"/>
    </row>
    <row r="672" spans="7:7" x14ac:dyDescent="0.25">
      <c r="G672" s="9"/>
    </row>
    <row r="673" spans="7:7" x14ac:dyDescent="0.25">
      <c r="G673" s="9"/>
    </row>
    <row r="674" spans="7:7" x14ac:dyDescent="0.25">
      <c r="G674" s="9"/>
    </row>
    <row r="675" spans="7:7" x14ac:dyDescent="0.25">
      <c r="G675" s="9"/>
    </row>
    <row r="676" spans="7:7" x14ac:dyDescent="0.25">
      <c r="G676" s="9"/>
    </row>
    <row r="677" spans="7:7" x14ac:dyDescent="0.25">
      <c r="G677" s="9"/>
    </row>
    <row r="678" spans="7:7" x14ac:dyDescent="0.25">
      <c r="G678" s="9"/>
    </row>
    <row r="679" spans="7:7" x14ac:dyDescent="0.25">
      <c r="G679" s="9"/>
    </row>
    <row r="680" spans="7:7" x14ac:dyDescent="0.25">
      <c r="G680" s="9"/>
    </row>
    <row r="681" spans="7:7" x14ac:dyDescent="0.25">
      <c r="G681" s="9"/>
    </row>
    <row r="682" spans="7:7" x14ac:dyDescent="0.25">
      <c r="G682" s="9"/>
    </row>
    <row r="683" spans="7:7" x14ac:dyDescent="0.25">
      <c r="G683" s="9"/>
    </row>
    <row r="684" spans="7:7" x14ac:dyDescent="0.25">
      <c r="G684" s="9"/>
    </row>
    <row r="685" spans="7:7" x14ac:dyDescent="0.25">
      <c r="G685" s="9"/>
    </row>
    <row r="686" spans="7:7" x14ac:dyDescent="0.25">
      <c r="G686" s="9"/>
    </row>
    <row r="687" spans="7:7" x14ac:dyDescent="0.25">
      <c r="G687" s="9"/>
    </row>
    <row r="688" spans="7:7" x14ac:dyDescent="0.25">
      <c r="G688" s="9"/>
    </row>
    <row r="689" spans="7:7" x14ac:dyDescent="0.25">
      <c r="G689" s="9"/>
    </row>
    <row r="690" spans="7:7" x14ac:dyDescent="0.25">
      <c r="G690" s="9"/>
    </row>
    <row r="691" spans="7:7" x14ac:dyDescent="0.25">
      <c r="G691" s="9"/>
    </row>
    <row r="692" spans="7:7" x14ac:dyDescent="0.25">
      <c r="G692" s="9"/>
    </row>
    <row r="693" spans="7:7" x14ac:dyDescent="0.25">
      <c r="G693" s="9"/>
    </row>
    <row r="694" spans="7:7" x14ac:dyDescent="0.25">
      <c r="G694" s="9"/>
    </row>
    <row r="695" spans="7:7" x14ac:dyDescent="0.25">
      <c r="G695" s="9"/>
    </row>
    <row r="696" spans="7:7" x14ac:dyDescent="0.25">
      <c r="G696" s="9"/>
    </row>
    <row r="697" spans="7:7" x14ac:dyDescent="0.25">
      <c r="G697" s="9"/>
    </row>
    <row r="698" spans="7:7" x14ac:dyDescent="0.25">
      <c r="G698" s="9"/>
    </row>
    <row r="699" spans="7:7" x14ac:dyDescent="0.25">
      <c r="G699" s="9"/>
    </row>
  </sheetData>
  <dataConsolidate/>
  <mergeCells count="4">
    <mergeCell ref="A1:A4"/>
    <mergeCell ref="F1:F4"/>
    <mergeCell ref="A5:F5"/>
    <mergeCell ref="A6:F14"/>
  </mergeCells>
  <phoneticPr fontId="0" type="noConversion"/>
  <conditionalFormatting sqref="H21:AI249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"Blocked"</formula>
    </cfRule>
  </conditionalFormatting>
  <dataValidations count="5">
    <dataValidation type="list" allowBlank="1" showInputMessage="1" showErrorMessage="1" sqref="H4:AI4">
      <formula1>Tester</formula1>
    </dataValidation>
    <dataValidation type="list" allowBlank="1" showInputMessage="1" showErrorMessage="1" sqref="H2:K2">
      <formula1>Languages</formula1>
    </dataValidation>
    <dataValidation type="list" allowBlank="1" showInputMessage="1" showErrorMessage="1" sqref="H1:K1">
      <formula1>OS</formula1>
    </dataValidation>
    <dataValidation type="list" allowBlank="1" showInputMessage="1" showErrorMessage="1" sqref="H3:AI3">
      <formula1>Browser</formula1>
    </dataValidation>
    <dataValidation type="list" allowBlank="1" showInputMessage="1" showErrorMessage="1" sqref="H21:AI701">
      <formula1>Status</formula1>
    </dataValidation>
  </dataValidations>
  <pageMargins left="0.75" right="0.75" top="0.61" bottom="0.4" header="0.19" footer="0.17"/>
  <pageSetup orientation="landscape" r:id="rId1"/>
  <headerFooter alignWithMargins="0">
    <oddHeader>&amp;R&amp;G</oddHeader>
    <oddFooter>&amp;LTest Case Specification and Tracking Sheet – ISL VAL T03             Ver 1.7               Confidential</oddFooter>
  </headerFooter>
  <cellWatches>
    <cellWatch r="H15"/>
  </cellWatche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F66"/>
  <sheetViews>
    <sheetView zoomScaleNormal="100" workbookViewId="0">
      <selection activeCell="E6" sqref="E6"/>
    </sheetView>
  </sheetViews>
  <sheetFormatPr defaultRowHeight="12.5" outlineLevelCol="1" x14ac:dyDescent="0.25"/>
  <cols>
    <col min="1" max="1" width="14" customWidth="1"/>
    <col min="2" max="2" width="18.54296875" customWidth="1"/>
    <col min="3" max="3" width="15.26953125" customWidth="1"/>
    <col min="4" max="4" width="15.26953125" customWidth="1" outlineLevel="1"/>
    <col min="5" max="5" width="16.7265625" customWidth="1" outlineLevel="1"/>
    <col min="6" max="6" width="14.54296875" customWidth="1" outlineLevel="1"/>
    <col min="7" max="7" width="14.7265625" customWidth="1" outlineLevel="1"/>
    <col min="8" max="8" width="14" customWidth="1" outlineLevel="1"/>
  </cols>
  <sheetData>
    <row r="1" spans="1:32" x14ac:dyDescent="0.25">
      <c r="A1" s="143" t="s">
        <v>11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</row>
    <row r="2" spans="1:32" x14ac:dyDescent="0.25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32" x14ac:dyDescent="0.25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</row>
    <row r="4" spans="1:32" x14ac:dyDescent="0.25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 spans="1:32" ht="34.5" customHeight="1" x14ac:dyDescent="0.3">
      <c r="A5" s="17" t="s">
        <v>10</v>
      </c>
      <c r="B5" s="17" t="s">
        <v>9</v>
      </c>
      <c r="C5" s="17" t="s">
        <v>28</v>
      </c>
      <c r="D5" s="17" t="s">
        <v>31</v>
      </c>
      <c r="E5" s="17" t="s">
        <v>29</v>
      </c>
      <c r="F5" s="17" t="s">
        <v>30</v>
      </c>
      <c r="G5" s="17" t="s">
        <v>18</v>
      </c>
      <c r="H5" s="17" t="s">
        <v>36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4.5" x14ac:dyDescent="0.25">
      <c r="A6" s="3" t="s">
        <v>83</v>
      </c>
      <c r="B6" s="3" t="s">
        <v>14</v>
      </c>
      <c r="C6" s="3" t="s">
        <v>84</v>
      </c>
      <c r="D6" s="18" t="s">
        <v>16</v>
      </c>
      <c r="E6" s="16" t="s">
        <v>81</v>
      </c>
      <c r="F6" s="16" t="s">
        <v>79</v>
      </c>
      <c r="G6" s="115" t="s">
        <v>85</v>
      </c>
      <c r="H6" s="18" t="s">
        <v>79</v>
      </c>
      <c r="I6" s="18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3"/>
      <c r="B7" s="3"/>
      <c r="C7" s="3"/>
      <c r="D7" s="18" t="s">
        <v>15</v>
      </c>
      <c r="E7" s="16"/>
      <c r="F7" s="16"/>
      <c r="G7" s="16"/>
      <c r="H7" s="3"/>
      <c r="I7" s="1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5">
      <c r="A8" s="3"/>
      <c r="B8" s="3"/>
      <c r="C8" s="3"/>
      <c r="D8" s="18" t="s">
        <v>27</v>
      </c>
      <c r="E8" s="16"/>
      <c r="F8" s="16"/>
      <c r="G8" s="16"/>
      <c r="H8" s="18"/>
      <c r="I8" s="18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5">
      <c r="A9" s="3"/>
      <c r="B9" s="3"/>
      <c r="C9" s="3"/>
      <c r="D9" s="18" t="s">
        <v>32</v>
      </c>
      <c r="E9" s="16"/>
      <c r="F9" s="16"/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5">
      <c r="A10" s="3"/>
      <c r="B10" s="3"/>
      <c r="C10" s="3"/>
      <c r="D10" s="3"/>
      <c r="E10" s="16"/>
      <c r="F10" s="16"/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5">
      <c r="A11" s="3"/>
      <c r="B11" s="3"/>
      <c r="C11" s="3"/>
      <c r="D11" s="3"/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5">
      <c r="A12" s="3"/>
      <c r="B12" s="3"/>
      <c r="C12" s="3"/>
      <c r="D12" s="3"/>
      <c r="F12" s="16"/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5">
      <c r="A13" s="3"/>
      <c r="B13" s="3"/>
      <c r="C13" s="3"/>
      <c r="D13" s="3"/>
      <c r="E13" s="3"/>
      <c r="F13" s="16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2" x14ac:dyDescent="0.25">
      <c r="A14" s="3"/>
      <c r="B14" s="3"/>
      <c r="C14" s="3"/>
      <c r="D14" s="3"/>
      <c r="E14" s="3"/>
      <c r="F14" s="16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5">
      <c r="A15" s="3"/>
      <c r="B15" s="3"/>
      <c r="C15" s="3"/>
      <c r="D15" s="3"/>
      <c r="E15" s="3"/>
      <c r="F15" s="16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5">
      <c r="A16" s="3"/>
      <c r="B16" s="3"/>
      <c r="C16" s="3"/>
      <c r="D16" s="3"/>
      <c r="E16" s="3"/>
      <c r="F16" s="1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5">
      <c r="A17" s="3"/>
      <c r="B17" s="3"/>
      <c r="C17" s="3"/>
      <c r="D17" s="3"/>
      <c r="E17" s="3"/>
      <c r="F17" s="1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5">
      <c r="A18" s="3"/>
      <c r="B18" s="3"/>
      <c r="C18" s="3"/>
      <c r="D18" s="3"/>
      <c r="E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25">
      <c r="A62" s="3"/>
      <c r="B62" s="3"/>
      <c r="C62" s="3"/>
      <c r="D62" s="3"/>
      <c r="E62" s="3"/>
      <c r="F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25">
      <c r="A63" s="3"/>
      <c r="B63" s="3"/>
      <c r="C63" s="3"/>
      <c r="D63" s="3"/>
      <c r="E63" s="3"/>
      <c r="F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25">
      <c r="A64" s="3"/>
      <c r="B64" s="3"/>
      <c r="C64" s="3"/>
      <c r="D64" s="3"/>
      <c r="E64" s="3"/>
      <c r="F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25">
      <c r="A65" s="3"/>
      <c r="B65" s="3"/>
      <c r="C65" s="3"/>
      <c r="D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25">
      <c r="A66" s="3"/>
      <c r="B66" s="3"/>
      <c r="C66" s="3"/>
      <c r="D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</sheetData>
  <mergeCells count="1">
    <mergeCell ref="A1:K4"/>
  </mergeCells>
  <phoneticPr fontId="0" type="noConversion"/>
  <pageMargins left="0.75" right="0.75" top="0.61" bottom="0.4" header="0.19" footer="0.17"/>
  <pageSetup orientation="portrait" r:id="rId1"/>
  <headerFooter alignWithMargins="0">
    <oddHeader>&amp;R&amp;G</oddHeader>
    <oddFooter>&amp;LTest Case Specification and Tracking Sheet – ISL VAL T03             Ver 1.7               Confidential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019D32C78EE84C92C9186FC5C515FC" ma:contentTypeVersion="0" ma:contentTypeDescription="Create a new document." ma:contentTypeScope="" ma:versionID="3bbb5514d3238eb2415437f12fdc1e7b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24DA08-025E-4684-B1A4-15CC074FB4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BDBE41-D3BF-4C39-A973-864359EA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3A92FFF2-D3E4-4852-B6BC-C33FAA70BE5D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RH</vt:lpstr>
      <vt:lpstr>Test summary</vt:lpstr>
      <vt:lpstr>Test result</vt:lpstr>
      <vt:lpstr>Test environment</vt:lpstr>
      <vt:lpstr>alpha</vt:lpstr>
      <vt:lpstr>Brosers</vt:lpstr>
      <vt:lpstr>Browser</vt:lpstr>
      <vt:lpstr>Browsers</vt:lpstr>
      <vt:lpstr>Languages</vt:lpstr>
      <vt:lpstr>Lead</vt:lpstr>
      <vt:lpstr>OS</vt:lpstr>
      <vt:lpstr>PL</vt:lpstr>
      <vt:lpstr>PM</vt:lpstr>
      <vt:lpstr>PMs</vt:lpstr>
      <vt:lpstr>Status</vt:lpstr>
      <vt:lpstr>Tester</vt:lpstr>
      <vt:lpstr>TestStatus</vt:lpstr>
      <vt:lpstr>TS</vt:lpstr>
      <vt:lpstr>Tst</vt:lpstr>
    </vt:vector>
  </TitlesOfParts>
  <Company>Inspirisys Solutions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</dc:creator>
  <cp:lastModifiedBy>Kanithkar</cp:lastModifiedBy>
  <cp:lastPrinted>2014-03-24T06:49:35Z</cp:lastPrinted>
  <dcterms:created xsi:type="dcterms:W3CDTF">2006-04-24T06:52:36Z</dcterms:created>
  <dcterms:modified xsi:type="dcterms:W3CDTF">2026-07-03T06:30:29Z</dcterms:modified>
</cp:coreProperties>
</file>